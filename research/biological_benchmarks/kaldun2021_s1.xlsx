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sprecher/Dropbox/04 MANUSCRIPTS/*UNDER REVIEW REVISION/Alzheimer forgetting manuscript/**revision plos bio/** Submission text files/v2/"/>
    </mc:Choice>
  </mc:AlternateContent>
  <xr:revisionPtr revIDLastSave="0" documentId="13_ncr:1_{04355BFE-D329-3C4C-A1A2-9890FC2A1E49}" xr6:coauthVersionLast="47" xr6:coauthVersionMax="47" xr10:uidLastSave="{00000000-0000-0000-0000-000000000000}"/>
  <bookViews>
    <workbookView xWindow="0" yWindow="500" windowWidth="23260" windowHeight="12580" activeTab="10" xr2:uid="{B1E0B728-F8D1-4C8C-B305-2D3BBCE7A9CA}"/>
  </bookViews>
  <sheets>
    <sheet name="Figure 1" sheetId="1" r:id="rId1"/>
    <sheet name="Figure 2" sheetId="5" r:id="rId2"/>
    <sheet name="Figure 3" sheetId="6" r:id="rId3"/>
    <sheet name="Figure 4" sheetId="7" r:id="rId4"/>
    <sheet name="S1" sheetId="2" r:id="rId5"/>
    <sheet name="S2" sheetId="3" r:id="rId6"/>
    <sheet name="S3" sheetId="10" r:id="rId7"/>
    <sheet name="S4" sheetId="12" r:id="rId8"/>
    <sheet name="S5" sheetId="11" r:id="rId9"/>
    <sheet name="S6" sheetId="8" r:id="rId10"/>
    <sheet name="S7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6" i="14" l="1"/>
  <c r="T25" i="14"/>
  <c r="T23" i="14"/>
  <c r="T22" i="14"/>
  <c r="T20" i="14"/>
  <c r="T19" i="14"/>
  <c r="T17" i="14"/>
  <c r="T16" i="14"/>
  <c r="T14" i="14"/>
  <c r="T13" i="14"/>
  <c r="T11" i="14"/>
  <c r="T10" i="14"/>
  <c r="T8" i="14"/>
  <c r="T7" i="14"/>
  <c r="T5" i="14"/>
  <c r="T4" i="14"/>
  <c r="I14" i="14"/>
  <c r="I13" i="14"/>
  <c r="I11" i="14"/>
  <c r="I10" i="14"/>
  <c r="I8" i="14"/>
  <c r="I7" i="14"/>
  <c r="I5" i="14"/>
  <c r="I4" i="14"/>
  <c r="AM34" i="11" l="1"/>
  <c r="AL34" i="11"/>
  <c r="AM24" i="11"/>
  <c r="AL24" i="11"/>
  <c r="AM14" i="11"/>
  <c r="AL14" i="11"/>
  <c r="AM4" i="11"/>
  <c r="AL4" i="11"/>
  <c r="AF14" i="11" l="1"/>
  <c r="AE14" i="11"/>
  <c r="AF4" i="11"/>
  <c r="AE4" i="11"/>
  <c r="AF34" i="11"/>
  <c r="AE34" i="11"/>
  <c r="AF24" i="11"/>
  <c r="AE24" i="11"/>
  <c r="L31" i="12" l="1"/>
  <c r="K31" i="12"/>
  <c r="L17" i="12"/>
  <c r="K17" i="12"/>
  <c r="L3" i="12"/>
  <c r="K3" i="12"/>
  <c r="E31" i="12"/>
  <c r="D31" i="12"/>
  <c r="E17" i="12"/>
  <c r="D17" i="12"/>
  <c r="E3" i="12"/>
  <c r="D3" i="12"/>
  <c r="L138" i="3" l="1"/>
  <c r="K138" i="3"/>
  <c r="L124" i="3"/>
  <c r="K124" i="3"/>
  <c r="L110" i="3"/>
  <c r="K110" i="3"/>
  <c r="E138" i="3"/>
  <c r="D138" i="3"/>
  <c r="E124" i="3"/>
  <c r="D124" i="3"/>
  <c r="E110" i="3"/>
  <c r="D110" i="3"/>
  <c r="AG73" i="3"/>
  <c r="AF73" i="3"/>
  <c r="AG59" i="3"/>
  <c r="AF59" i="3"/>
  <c r="AG45" i="3"/>
  <c r="AF45" i="3"/>
  <c r="AG31" i="3"/>
  <c r="AF31" i="3"/>
  <c r="AG17" i="3"/>
  <c r="AF17" i="3"/>
  <c r="AG3" i="3"/>
  <c r="AF3" i="3"/>
  <c r="Z3" i="3"/>
  <c r="Y3" i="3"/>
  <c r="Z17" i="3"/>
  <c r="Y17" i="3"/>
  <c r="Z31" i="3"/>
  <c r="Y31" i="3"/>
  <c r="Z45" i="3"/>
  <c r="Y45" i="3"/>
  <c r="Z59" i="3"/>
  <c r="Y59" i="3"/>
  <c r="Z73" i="3"/>
  <c r="Y73" i="3"/>
  <c r="S73" i="3"/>
  <c r="R73" i="3"/>
  <c r="S59" i="3"/>
  <c r="R59" i="3"/>
  <c r="S45" i="3"/>
  <c r="R45" i="3"/>
  <c r="S31" i="3"/>
  <c r="R31" i="3"/>
  <c r="S17" i="3"/>
  <c r="R17" i="3"/>
  <c r="S3" i="3"/>
  <c r="R3" i="3"/>
  <c r="L17" i="3"/>
  <c r="K17" i="3"/>
  <c r="L3" i="3"/>
  <c r="K3" i="3"/>
  <c r="E17" i="3"/>
  <c r="D17" i="3"/>
  <c r="D3" i="3"/>
  <c r="K59" i="3"/>
  <c r="L45" i="3"/>
  <c r="K45" i="3"/>
  <c r="L59" i="3"/>
  <c r="L73" i="3"/>
  <c r="K73" i="3"/>
  <c r="E73" i="3"/>
  <c r="D73" i="3"/>
  <c r="E59" i="3"/>
  <c r="D59" i="3"/>
  <c r="E45" i="3"/>
  <c r="D45" i="3"/>
  <c r="E31" i="3"/>
  <c r="D31" i="3"/>
  <c r="E3" i="3"/>
  <c r="AG3" i="2"/>
  <c r="AF3" i="2"/>
  <c r="AG17" i="2"/>
  <c r="AF17" i="2"/>
  <c r="AG31" i="2"/>
  <c r="AF31" i="2"/>
  <c r="S31" i="2"/>
  <c r="R31" i="2"/>
  <c r="S17" i="2"/>
  <c r="R17" i="2"/>
  <c r="S3" i="2"/>
  <c r="R3" i="2"/>
  <c r="L3" i="2"/>
  <c r="K3" i="2"/>
  <c r="L17" i="2"/>
  <c r="K17" i="2"/>
  <c r="L31" i="2"/>
  <c r="K31" i="2"/>
  <c r="E31" i="2"/>
  <c r="D31" i="2"/>
  <c r="E17" i="2"/>
  <c r="D17" i="2"/>
  <c r="E3" i="2"/>
  <c r="D3" i="2"/>
  <c r="AG75" i="5"/>
  <c r="AF75" i="5"/>
  <c r="AG61" i="5"/>
  <c r="AF61" i="5"/>
  <c r="AG47" i="5"/>
  <c r="AF47" i="5"/>
  <c r="AG33" i="5"/>
  <c r="AF33" i="5"/>
  <c r="AG19" i="5"/>
  <c r="AF19" i="5"/>
  <c r="AG5" i="5"/>
  <c r="AF5" i="5"/>
  <c r="Z75" i="5"/>
  <c r="Y75" i="5"/>
  <c r="Z61" i="5"/>
  <c r="Y61" i="5"/>
  <c r="Z47" i="5"/>
  <c r="Y47" i="5"/>
  <c r="Z33" i="5"/>
  <c r="Y33" i="5"/>
  <c r="Z19" i="5"/>
  <c r="Y19" i="5"/>
  <c r="Z5" i="5"/>
  <c r="Y5" i="5"/>
  <c r="E74" i="11" l="1"/>
  <c r="E60" i="11"/>
  <c r="E46" i="11"/>
  <c r="E32" i="11"/>
  <c r="E18" i="11"/>
  <c r="E4" i="11"/>
  <c r="L31" i="1"/>
  <c r="K31" i="1"/>
  <c r="L17" i="1"/>
  <c r="K17" i="1"/>
  <c r="L3" i="1"/>
  <c r="K3" i="1"/>
  <c r="Z31" i="2"/>
  <c r="Y31" i="2"/>
  <c r="Z17" i="2"/>
  <c r="Y17" i="2"/>
  <c r="Z3" i="2"/>
  <c r="Y3" i="2"/>
  <c r="L138" i="1"/>
  <c r="L124" i="1"/>
  <c r="L110" i="1"/>
  <c r="AN84" i="1"/>
  <c r="AN70" i="1"/>
  <c r="AN56" i="1"/>
  <c r="AG84" i="1"/>
  <c r="Z84" i="1"/>
  <c r="S84" i="1"/>
  <c r="L84" i="1"/>
  <c r="AG70" i="1"/>
  <c r="Z70" i="1"/>
  <c r="S70" i="1"/>
  <c r="L70" i="1"/>
  <c r="AG56" i="1"/>
  <c r="Z56" i="1"/>
  <c r="S56" i="1"/>
  <c r="L56" i="1"/>
  <c r="AU73" i="1"/>
  <c r="AT73" i="1"/>
  <c r="AU59" i="1"/>
  <c r="AT59" i="1"/>
  <c r="AU45" i="1"/>
  <c r="AT45" i="1"/>
  <c r="AU31" i="1"/>
  <c r="AT31" i="1"/>
  <c r="AU17" i="1"/>
  <c r="AT17" i="1"/>
  <c r="AU3" i="1"/>
  <c r="AT3" i="1"/>
  <c r="AN31" i="1"/>
  <c r="AM31" i="1"/>
  <c r="AG31" i="1"/>
  <c r="AF31" i="1"/>
  <c r="AN17" i="1"/>
  <c r="AM17" i="1"/>
  <c r="AG17" i="1"/>
  <c r="AF17" i="1"/>
  <c r="AN3" i="1"/>
  <c r="AM3" i="1"/>
  <c r="AG3" i="1"/>
  <c r="AF3" i="1"/>
  <c r="E16" i="7" l="1"/>
  <c r="D16" i="7"/>
  <c r="K82" i="7" l="1"/>
  <c r="L72" i="7"/>
  <c r="K72" i="7"/>
  <c r="L82" i="7"/>
  <c r="E84" i="7"/>
  <c r="D84" i="7"/>
  <c r="E72" i="7"/>
  <c r="D72" i="7"/>
  <c r="Z3" i="7"/>
  <c r="Y3" i="7"/>
  <c r="S36" i="7"/>
  <c r="R36" i="7"/>
  <c r="S19" i="7"/>
  <c r="R19" i="7"/>
  <c r="L40" i="7"/>
  <c r="K40" i="7"/>
  <c r="L19" i="7"/>
  <c r="K19" i="7"/>
  <c r="Y41" i="11" l="1"/>
  <c r="X41" i="11"/>
  <c r="Y31" i="11"/>
  <c r="X31" i="11"/>
  <c r="Y17" i="11"/>
  <c r="X17" i="11"/>
  <c r="Y3" i="11"/>
  <c r="X3" i="11"/>
  <c r="D3" i="1" l="1"/>
  <c r="X15" i="8" l="1"/>
  <c r="W15" i="8"/>
  <c r="X11" i="8"/>
  <c r="W11" i="8"/>
  <c r="X7" i="8"/>
  <c r="W7" i="8"/>
  <c r="X3" i="8"/>
  <c r="W3" i="8"/>
  <c r="Q192" i="8"/>
  <c r="P192" i="8"/>
  <c r="Q164" i="8"/>
  <c r="P164" i="8"/>
  <c r="Q139" i="8"/>
  <c r="P139" i="8"/>
  <c r="Q111" i="8"/>
  <c r="P111" i="8"/>
  <c r="Q84" i="8"/>
  <c r="P84" i="8"/>
  <c r="Q56" i="8"/>
  <c r="P56" i="8"/>
  <c r="Q31" i="8"/>
  <c r="P31" i="8"/>
  <c r="Q3" i="8"/>
  <c r="P3" i="8"/>
  <c r="Y31" i="7"/>
  <c r="Y17" i="7"/>
  <c r="S3" i="7"/>
  <c r="R3" i="7"/>
  <c r="E26" i="7"/>
  <c r="D26" i="7"/>
  <c r="L3" i="7"/>
  <c r="K3" i="7"/>
  <c r="E3" i="7"/>
  <c r="D3" i="7"/>
  <c r="Z31" i="7"/>
  <c r="Z17" i="7"/>
  <c r="Y59" i="6"/>
  <c r="Y45" i="6"/>
  <c r="Y31" i="6"/>
  <c r="Y17" i="6"/>
  <c r="Y3" i="6"/>
  <c r="Z59" i="6"/>
  <c r="Z45" i="6"/>
  <c r="S23" i="6"/>
  <c r="R23" i="6"/>
  <c r="S13" i="6"/>
  <c r="R13" i="6"/>
  <c r="S3" i="6"/>
  <c r="R3" i="6"/>
  <c r="L23" i="6"/>
  <c r="K23" i="6"/>
  <c r="L13" i="6"/>
  <c r="K13" i="6"/>
  <c r="L3" i="6"/>
  <c r="K3" i="6"/>
  <c r="E3" i="6"/>
  <c r="E15" i="6"/>
  <c r="E25" i="6"/>
  <c r="D25" i="6"/>
  <c r="D15" i="6"/>
  <c r="D3" i="6"/>
  <c r="Z31" i="6"/>
  <c r="Z17" i="6"/>
  <c r="Z3" i="6"/>
  <c r="R136" i="11"/>
  <c r="Q136" i="11"/>
  <c r="R112" i="11"/>
  <c r="Q112" i="11"/>
  <c r="R88" i="11"/>
  <c r="Q88" i="11"/>
  <c r="R62" i="11"/>
  <c r="Q62" i="11"/>
  <c r="R36" i="11"/>
  <c r="Q36" i="11"/>
  <c r="R3" i="11"/>
  <c r="Q3" i="11"/>
  <c r="L137" i="11"/>
  <c r="K137" i="11"/>
  <c r="L112" i="11"/>
  <c r="K112" i="11"/>
  <c r="L88" i="11"/>
  <c r="K88" i="11"/>
  <c r="L62" i="11"/>
  <c r="K62" i="11"/>
  <c r="L36" i="11"/>
  <c r="K36" i="11"/>
  <c r="L3" i="11"/>
  <c r="K3" i="11"/>
  <c r="E152" i="5"/>
  <c r="D152" i="5"/>
  <c r="D138" i="5"/>
  <c r="D124" i="5"/>
  <c r="D110" i="5"/>
  <c r="E138" i="5"/>
  <c r="E124" i="5"/>
  <c r="E110" i="5"/>
  <c r="S73" i="5"/>
  <c r="S59" i="5"/>
  <c r="S45" i="5"/>
  <c r="L73" i="5"/>
  <c r="L59" i="5"/>
  <c r="L45" i="5"/>
  <c r="E73" i="5"/>
  <c r="E59" i="5"/>
  <c r="E45" i="5"/>
  <c r="S31" i="5"/>
  <c r="L31" i="5"/>
  <c r="E31" i="5"/>
  <c r="S17" i="5"/>
  <c r="L17" i="5"/>
  <c r="E17" i="5"/>
  <c r="S3" i="5"/>
  <c r="L3" i="5"/>
  <c r="E3" i="5"/>
  <c r="L31" i="10"/>
  <c r="L17" i="10"/>
  <c r="L3" i="10"/>
  <c r="E31" i="10"/>
  <c r="E17" i="10"/>
  <c r="E3" i="10"/>
  <c r="L31" i="3"/>
  <c r="Z84" i="2"/>
  <c r="Z70" i="2"/>
  <c r="Z56" i="2"/>
  <c r="S139" i="2"/>
  <c r="S125" i="2"/>
  <c r="S111" i="2"/>
  <c r="S87" i="2"/>
  <c r="S73" i="2"/>
  <c r="S59" i="2"/>
  <c r="L84" i="2"/>
  <c r="L70" i="2"/>
  <c r="L56" i="2"/>
  <c r="E84" i="2"/>
  <c r="E70" i="2"/>
  <c r="E56" i="2"/>
  <c r="Z3" i="1"/>
  <c r="Z17" i="1"/>
  <c r="Z31" i="1"/>
  <c r="E56" i="1"/>
  <c r="E70" i="1"/>
  <c r="E84" i="1"/>
  <c r="E98" i="1"/>
  <c r="E112" i="1"/>
  <c r="E126" i="1"/>
  <c r="S31" i="1"/>
  <c r="S17" i="1"/>
  <c r="S3" i="1"/>
  <c r="E31" i="1"/>
  <c r="E17" i="1"/>
  <c r="E3" i="1"/>
  <c r="D126" i="1"/>
  <c r="D112" i="1"/>
  <c r="D98" i="1"/>
  <c r="D84" i="1"/>
  <c r="D70" i="1"/>
  <c r="D56" i="1"/>
  <c r="Y31" i="1"/>
  <c r="Y17" i="1"/>
  <c r="Y3" i="1"/>
  <c r="R31" i="1"/>
  <c r="R17" i="1"/>
  <c r="R3" i="1"/>
  <c r="D31" i="1"/>
  <c r="D17" i="1"/>
</calcChain>
</file>

<file path=xl/sharedStrings.xml><?xml version="1.0" encoding="utf-8"?>
<sst xmlns="http://schemas.openxmlformats.org/spreadsheetml/2006/main" count="2263" uniqueCount="557">
  <si>
    <t>Fig 1. A</t>
  </si>
  <si>
    <t>N</t>
  </si>
  <si>
    <t>LI</t>
  </si>
  <si>
    <t>Genotype 2</t>
  </si>
  <si>
    <t>Average Lis</t>
  </si>
  <si>
    <t>Genotype 3</t>
  </si>
  <si>
    <t>Linear Hypotheses:</t>
  </si>
  <si>
    <t xml:space="preserve">           Estimate Std. Error t value Pr(&gt;|t|)</t>
  </si>
  <si>
    <t>Average</t>
  </si>
  <si>
    <t>A</t>
  </si>
  <si>
    <t>B</t>
  </si>
  <si>
    <t>C</t>
  </si>
  <si>
    <t>D</t>
  </si>
  <si>
    <t>(Adjusted p values reported -- single-step method)</t>
  </si>
  <si>
    <t>E</t>
  </si>
  <si>
    <t>F</t>
  </si>
  <si>
    <t>G</t>
  </si>
  <si>
    <t>H</t>
  </si>
  <si>
    <t xml:space="preserve">           Estimate Std. Error t value Pr(&gt;|t|)    </t>
  </si>
  <si>
    <t xml:space="preserve">           Estimate Std. Error t value Pr(&gt;|t|)   </t>
  </si>
  <si>
    <t>c150-Gal4, MB-Gal80ts</t>
  </si>
  <si>
    <t>0h</t>
  </si>
  <si>
    <t>6H RT</t>
  </si>
  <si>
    <t>2h HAT + 4h RT</t>
  </si>
  <si>
    <t>mb247-lexA,lexAop-Arc; MB-Gal80ts, UAS-shi</t>
  </si>
  <si>
    <t>c150-Gal4, MB-Gal80ts; UAS-shi, mb247-lexA,lexAop-Arc</t>
  </si>
  <si>
    <t>mb247-lexA,lexAop-Arc</t>
  </si>
  <si>
    <t>104Y-Gal4, UAS-dTrpA</t>
  </si>
  <si>
    <t>104Y-Gal4, UAS-dTrpA, mb247-lexA,lexAop-Arc</t>
  </si>
  <si>
    <t>R23E10-Gal4</t>
  </si>
  <si>
    <t>R23E10, UAS-TrpA; mb247-lexA,lexAop-Arc</t>
  </si>
  <si>
    <t>Li</t>
  </si>
  <si>
    <t>UAS-Arc/+</t>
  </si>
  <si>
    <t>Nsyb-Gal4/+</t>
  </si>
  <si>
    <t>Nsyb &gt; Arc</t>
  </si>
  <si>
    <t xml:space="preserve">C - A == 0  -22.523      7.858  -2.866   0.0191 *  </t>
  </si>
  <si>
    <t>C - B == 0  -34.157      7.858  -4.347   &lt;0.001 ***</t>
  </si>
  <si>
    <t>---</t>
  </si>
  <si>
    <t>Signif. codes:  0 ‘***’ 0.001 ‘**’ 0.01 ‘*’ 0.05 ‘.’ 0.1 ‘ ’ 1</t>
  </si>
  <si>
    <t>Fig 1. B</t>
  </si>
  <si>
    <t xml:space="preserve">B - A == 0    2.175      6.256   0.348    0.936    </t>
  </si>
  <si>
    <t>C - A == 0  -48.972      6.256  -7.828   &lt;1e-04 ***</t>
  </si>
  <si>
    <t>C - B == 0  -51.147      6.256  -8.176   &lt;1e-04 ***</t>
  </si>
  <si>
    <t>Fig 1. C</t>
  </si>
  <si>
    <t>B - A == 0  -13.142      4.955  -2.652   0.0318 *</t>
  </si>
  <si>
    <t xml:space="preserve">C - A == 0   -1.556      4.955  -0.314   0.9472  </t>
  </si>
  <si>
    <t>C - B == 0   11.586      4.955   2.338   0.0643 .</t>
  </si>
  <si>
    <t>Fig 1. D</t>
  </si>
  <si>
    <t>Ok107-Gal4/+</t>
  </si>
  <si>
    <t>Ok107 &gt; Arc</t>
  </si>
  <si>
    <t xml:space="preserve">B - A == 0    5.010      8.223   0.609 0.816090    </t>
  </si>
  <si>
    <t xml:space="preserve">C - A == 0  -30.015      8.223  -3.650 0.002449 ** </t>
  </si>
  <si>
    <t>C - B == 0  -35.025      8.223  -4.259 0.000432 ***</t>
  </si>
  <si>
    <t>Ok107 &gt; Ab40</t>
  </si>
  <si>
    <t>Fig 1. F</t>
  </si>
  <si>
    <t>Fig 1. E</t>
  </si>
  <si>
    <t>Fig 1. G</t>
  </si>
  <si>
    <t>no RU</t>
  </si>
  <si>
    <t>ElavGS/+</t>
  </si>
  <si>
    <t>ElavGS &gt; Arc</t>
  </si>
  <si>
    <t>with RU</t>
  </si>
  <si>
    <t>Genotyp 1</t>
  </si>
  <si>
    <t xml:space="preserve">B - A == 0  -3.7745     6.5507  -0.576  0.99227   </t>
  </si>
  <si>
    <t xml:space="preserve">C - A == 0  -9.5140     6.5507  -1.452  0.69520   </t>
  </si>
  <si>
    <t xml:space="preserve">D - A == 0   1.1844     6.5507   0.181  0.99997   </t>
  </si>
  <si>
    <t xml:space="preserve">E - A == 0   2.0860     6.5507   0.318  0.99954   </t>
  </si>
  <si>
    <t>F - A == 0 -25.2818     6.5507  -3.859  0.00349 **</t>
  </si>
  <si>
    <t xml:space="preserve">C - B == 0  -5.7394     6.5507  -0.876  0.95091   </t>
  </si>
  <si>
    <t xml:space="preserve">D - B == 0   4.9590     6.5507   0.757  0.97363   </t>
  </si>
  <si>
    <t xml:space="preserve">E - B == 0   5.8606     6.5507   0.895  0.94648   </t>
  </si>
  <si>
    <t xml:space="preserve">F - B == 0 -21.5073     6.5507  -3.283  0.01974 * </t>
  </si>
  <si>
    <t xml:space="preserve">D - C == 0  10.6984     6.5507   1.633  0.57995   </t>
  </si>
  <si>
    <t xml:space="preserve">E - C == 0  11.6000     6.5507   1.771  0.49131   </t>
  </si>
  <si>
    <t xml:space="preserve">F - C == 0 -15.7679     6.5507  -2.407  0.16883   </t>
  </si>
  <si>
    <t xml:space="preserve">E - D == 0   0.9016     6.5507   0.138  0.99999   </t>
  </si>
  <si>
    <t>F - D == 0 -26.4662     6.5507  -4.040  0.00183 **</t>
  </si>
  <si>
    <t>F - E == 0 -27.3678     6.5507  -4.178  0.00124 **</t>
  </si>
  <si>
    <t>Fig 1. H</t>
  </si>
  <si>
    <t>MBGS/+</t>
  </si>
  <si>
    <t>MBGS &gt; Arc</t>
  </si>
  <si>
    <t xml:space="preserve">B - A == 0   -2.432      6.848  -0.355  0.99922   </t>
  </si>
  <si>
    <t xml:space="preserve">C - A == 0   -6.443      6.848  -0.941  0.93432   </t>
  </si>
  <si>
    <t xml:space="preserve">D - A == 0  -10.084      6.848  -1.472  0.68260   </t>
  </si>
  <si>
    <t xml:space="preserve">E - A == 0    1.713      6.848   0.250  0.99986   </t>
  </si>
  <si>
    <t>F - A == 0  -25.659      6.848  -3.747  0.00489 **</t>
  </si>
  <si>
    <t xml:space="preserve">C - B == 0   -4.012      6.848  -0.586  0.99166   </t>
  </si>
  <si>
    <t xml:space="preserve">D - B == 0   -7.652      6.848  -1.117  0.87245   </t>
  </si>
  <si>
    <t xml:space="preserve">E - B == 0    4.144      6.848   0.605  0.99031   </t>
  </si>
  <si>
    <t xml:space="preserve">F - B == 0  -23.227      6.848  -3.392  0.01426 * </t>
  </si>
  <si>
    <t xml:space="preserve">D - C == 0   -3.641      6.848  -0.532  0.99468   </t>
  </si>
  <si>
    <t xml:space="preserve">E - C == 0    8.156      6.848   1.191  0.83965   </t>
  </si>
  <si>
    <t xml:space="preserve">F - C == 0  -19.216      6.848  -2.806  0.06893 . </t>
  </si>
  <si>
    <t xml:space="preserve">E - D == 0   11.797      6.848   1.723  0.52217   </t>
  </si>
  <si>
    <t xml:space="preserve">F - D == 0  -15.575      6.848  -2.274  0.21947   </t>
  </si>
  <si>
    <t>F - E == 0  -27.372      6.848  -3.997  0.00215 **</t>
  </si>
  <si>
    <t>SEM</t>
  </si>
  <si>
    <t xml:space="preserve">           Estimate SEM. Error t value Pr(&gt;|t|)    </t>
  </si>
  <si>
    <t xml:space="preserve">           Estimate SEM. Error t value Pr(&gt;|t|)  </t>
  </si>
  <si>
    <t xml:space="preserve">           Estimate SEM. Error t value Pr(&gt;|t|)   </t>
  </si>
  <si>
    <t>B - A == 0  -14.319      8.764  -1.634    0.246</t>
  </si>
  <si>
    <t>C - A == 0  -16.888      8.764  -1.927    0.147</t>
  </si>
  <si>
    <t>C - B == 0   -2.569      8.764  -0.293    0.954</t>
  </si>
  <si>
    <t>B - A == 0   19.817      9.556   2.074    0.111</t>
  </si>
  <si>
    <t>C - A == 0    2.370      9.556   0.248    0.967</t>
  </si>
  <si>
    <t>C - B == 0  -17.447      9.556  -1.826    0.177</t>
  </si>
  <si>
    <t>B - A == 0    2.471      8.602   0.287    0.956</t>
  </si>
  <si>
    <t>C - A == 0    6.977      8.602   0.811    0.699</t>
  </si>
  <si>
    <t>C - B == 0    4.506      8.602   0.524    0.860</t>
  </si>
  <si>
    <t>B - A == 0   -6.149      7.894  -0.779    0.718</t>
  </si>
  <si>
    <t>C - A == 0   -7.269      7.894  -0.921    0.631</t>
  </si>
  <si>
    <t>C - B == 0   -1.120      7.894  -0.142    0.989</t>
  </si>
  <si>
    <t>B - A == 0  -13.557     11.889  -1.140    0.497</t>
  </si>
  <si>
    <t>C - A == 0  -15.788     11.889  -1.328    0.390</t>
  </si>
  <si>
    <t>C - B == 0   -2.231     11.889  -0.188    0.981</t>
  </si>
  <si>
    <t>B - A == 0   3.8107     8.0972   0.471    0.885</t>
  </si>
  <si>
    <t>C - A == 0   0.1256     8.0972   0.016    1.000</t>
  </si>
  <si>
    <t>C - B == 0  -3.6851     8.0972  -0.455    0.892</t>
  </si>
  <si>
    <t>Data for 0h and 2h in Figure 1C and D</t>
  </si>
  <si>
    <t>4h</t>
  </si>
  <si>
    <t>6h</t>
  </si>
  <si>
    <t xml:space="preserve">B - A == 0    3.273      6.210   0.527    0.859    </t>
  </si>
  <si>
    <t>C - A == 0  -40.710      6.210  -6.556   &lt;1e-04 ***</t>
  </si>
  <si>
    <t>C - B == 0  -43.983      6.210  -7.083   &lt;1e-04 ***</t>
  </si>
  <si>
    <t xml:space="preserve">B - A == 0    2.012      4.249   0.473    0.884    </t>
  </si>
  <si>
    <t>C - A == 0  -38.367      4.249  -9.030   &lt;1e-04 ***</t>
  </si>
  <si>
    <t>C - B == 0  -40.378      4.249  -9.503   &lt;1e-04 ***</t>
  </si>
  <si>
    <t xml:space="preserve">B - A == 0   -8.902      5.725  -1.555  0.27908    </t>
  </si>
  <si>
    <t>C - A == 0  -28.236      5.725  -4.932  &lt; 0.001 ***</t>
  </si>
  <si>
    <t xml:space="preserve">C - B == 0  -19.334      5.725  -3.377  0.00532 ** </t>
  </si>
  <si>
    <t xml:space="preserve">           Estimate Std. Error t value Pr(&gt;|t|)  </t>
  </si>
  <si>
    <t>B - A == 0  10.7924     9.1106   1.185    0.843</t>
  </si>
  <si>
    <t>C - A == 0  11.3737     9.1106   1.248    0.811</t>
  </si>
  <si>
    <t>D - A == 0   5.6984     9.1106   0.625    0.989</t>
  </si>
  <si>
    <t>E - A == 0  11.6520     9.1106   1.279    0.795</t>
  </si>
  <si>
    <t>F - A == 0   1.2755     9.1106   0.140    1.000</t>
  </si>
  <si>
    <t>C - B == 0   0.5813     9.1106   0.064    1.000</t>
  </si>
  <si>
    <t>D - B == 0  -5.0940     9.1106  -0.559    0.993</t>
  </si>
  <si>
    <t>E - B == 0   0.8596     9.1106   0.094    1.000</t>
  </si>
  <si>
    <t>F - B == 0  -9.5169     9.1106  -1.045    0.901</t>
  </si>
  <si>
    <t>D - C == 0  -5.6753     9.1106  -0.623    0.989</t>
  </si>
  <si>
    <t>E - C == 0   0.2783     9.1106   0.031    1.000</t>
  </si>
  <si>
    <t>F - C == 0 -10.0982     9.1106  -1.108    0.876</t>
  </si>
  <si>
    <t>E - D == 0   5.9536     9.1106   0.653    0.986</t>
  </si>
  <si>
    <t>F - D == 0  -4.4229     9.1106  -0.485    0.997</t>
  </si>
  <si>
    <t>F - E == 0 -10.3765     9.1106  -1.139    0.863</t>
  </si>
  <si>
    <t>B - A == 0  6.47208    8.54458   0.757    0.974</t>
  </si>
  <si>
    <t>C - A == 0  4.77113    8.54458   0.558    0.993</t>
  </si>
  <si>
    <t>D - A == 0  6.73420    8.54458   0.788    0.969</t>
  </si>
  <si>
    <t>E - A == 0 -2.10969    8.54458  -0.247    1.000</t>
  </si>
  <si>
    <t>F - A == 0  6.63848    8.54458   0.777    0.970</t>
  </si>
  <si>
    <t>C - B == 0 -1.70095    8.54458  -0.199    1.000</t>
  </si>
  <si>
    <t>D - B == 0  0.26212    8.54458   0.031    1.000</t>
  </si>
  <si>
    <t>E - B == 0 -8.58178    8.54458  -1.004    0.915</t>
  </si>
  <si>
    <t>F - B == 0  0.16639    8.54458   0.019    1.000</t>
  </si>
  <si>
    <t>D - C == 0  1.96307    8.54458   0.230    1.000</t>
  </si>
  <si>
    <t>E - C == 0 -6.88083    8.54458  -0.805    0.966</t>
  </si>
  <si>
    <t>F - C == 0  1.86735    8.54458   0.219    1.000</t>
  </si>
  <si>
    <t>E - D == 0 -8.84390    8.54458  -1.035    0.904</t>
  </si>
  <si>
    <t>F - D == 0 -0.09572    8.54458  -0.011    1.000</t>
  </si>
  <si>
    <t>F - E == 0  8.74817    8.54458   1.024    0.908</t>
  </si>
  <si>
    <t xml:space="preserve">B - A == 0  -11.585      7.089  -1.634   0.5792  </t>
  </si>
  <si>
    <t xml:space="preserve">C - A == 0  -17.679      7.089  -2.494   0.1408  </t>
  </si>
  <si>
    <t xml:space="preserve">D - A == 0    1.924      7.089   0.271   0.9998  </t>
  </si>
  <si>
    <t>E - A == 0  -19.117      7.089  -2.697   0.0895 .</t>
  </si>
  <si>
    <t xml:space="preserve">F - A == 0   -6.167      7.089  -0.870   0.9523  </t>
  </si>
  <si>
    <t xml:space="preserve">C - B == 0   -6.093      7.089  -0.860   0.9547  </t>
  </si>
  <si>
    <t xml:space="preserve">D - B == 0   13.509      7.089   1.906   0.4079  </t>
  </si>
  <si>
    <t xml:space="preserve">E - B == 0   -7.531      7.089  -1.062   0.8944  </t>
  </si>
  <si>
    <t xml:space="preserve">F - B == 0    5.418      7.089   0.764   0.9725  </t>
  </si>
  <si>
    <t>D - C == 0   19.602      7.089   2.765   0.0761 .</t>
  </si>
  <si>
    <t xml:space="preserve">E - C == 0   -1.438      7.089  -0.203   1.0000  </t>
  </si>
  <si>
    <t xml:space="preserve">F - C == 0   11.511      7.089   1.624   0.5861  </t>
  </si>
  <si>
    <t>E - D == 0  -21.040      7.089  -2.968   0.0459 *</t>
  </si>
  <si>
    <t xml:space="preserve">F - D == 0   -8.091      7.089  -1.141   0.8622  </t>
  </si>
  <si>
    <t xml:space="preserve">F - E == 0   12.949      7.089   1.827   0.4561  </t>
  </si>
  <si>
    <t>B - A == 0   -9.475      6.658  -1.423    0.713</t>
  </si>
  <si>
    <t>C - A == 0  -13.142      6.658  -1.974    0.368</t>
  </si>
  <si>
    <t>D - A == 0   -2.045      6.658  -0.307    1.000</t>
  </si>
  <si>
    <t>E - A == 0  -15.028      6.658  -2.257    0.227</t>
  </si>
  <si>
    <t>F - A == 0  -16.824      6.658  -2.527    0.131</t>
  </si>
  <si>
    <t>C - B == 0   -3.667      6.658  -0.551    0.994</t>
  </si>
  <si>
    <t>D - B == 0    7.429      6.658   1.116    0.873</t>
  </si>
  <si>
    <t>E - B == 0   -5.554      6.658  -0.834    0.960</t>
  </si>
  <si>
    <t>F - B == 0   -7.350      6.658  -1.104    0.878</t>
  </si>
  <si>
    <t>D - C == 0   11.097      6.658   1.667    0.558</t>
  </si>
  <si>
    <t>E - C == 0   -1.886      6.658  -0.283    1.000</t>
  </si>
  <si>
    <t>F - C == 0   -3.682      6.658  -0.553    0.994</t>
  </si>
  <si>
    <t>E - D == 0  -12.983      6.658  -1.950    0.382</t>
  </si>
  <si>
    <t>F - D == 0  -14.779      6.658  -2.220    0.243</t>
  </si>
  <si>
    <t>F - E == 0   -1.796      6.658  -0.270    1.000</t>
  </si>
  <si>
    <t>B - A == 0   1.1015     6.2160   0.177    1.000</t>
  </si>
  <si>
    <t>C - A == 0  -0.7586     6.2160  -0.122    1.000</t>
  </si>
  <si>
    <t>D - A == 0  15.2347     6.2160   2.451    0.154</t>
  </si>
  <si>
    <t>E - A == 0   8.3345     6.2160   1.341    0.761</t>
  </si>
  <si>
    <t>F - A == 0  10.7123     6.2160   1.723    0.522</t>
  </si>
  <si>
    <t>C - B == 0  -1.8602     6.2160  -0.299    1.000</t>
  </si>
  <si>
    <t>D - B == 0  14.1332     6.2160   2.274    0.220</t>
  </si>
  <si>
    <t>E - B == 0   7.2330     6.2160   1.164    0.852</t>
  </si>
  <si>
    <t>F - B == 0   9.6108     6.2160   1.546    0.636</t>
  </si>
  <si>
    <t>D - C == 0  15.9934     6.2160   2.573    0.119</t>
  </si>
  <si>
    <t>E - C == 0   9.0932     6.2160   1.463    0.689</t>
  </si>
  <si>
    <t>F - C == 0  11.4710     6.2160   1.845    0.445</t>
  </si>
  <si>
    <t>E - D == 0  -6.9002     6.2160  -1.110    0.876</t>
  </si>
  <si>
    <t>F - D == 0  -4.5224     6.2160  -0.728    0.978</t>
  </si>
  <si>
    <t>F - E == 0   2.3778     6.2160   0.383    0.999</t>
  </si>
  <si>
    <t xml:space="preserve">B - A == 0   -5.648      5.461  -1.034    0.561    </t>
  </si>
  <si>
    <t>C - A == 0  -56.670      5.461 -10.377   &lt;1e-04 ***</t>
  </si>
  <si>
    <t>C - B == 0  -51.022      5.461  -9.343   &lt;1e-04 ***</t>
  </si>
  <si>
    <t xml:space="preserve">B - A == 0   11.934      4.878   2.447   0.0507 .  </t>
  </si>
  <si>
    <t>C - A == 0  -37.227      4.878  -7.632   &lt;0.001 ***</t>
  </si>
  <si>
    <t>C - B == 0  -49.161      4.878 -10.079   &lt;0.001 ***</t>
  </si>
  <si>
    <t>B - A == 0    6.528      8.666   0.753    0.734</t>
  </si>
  <si>
    <t>C - A == 0    5.374      8.666   0.620    0.810</t>
  </si>
  <si>
    <t>C - B == 0   -1.155      8.666  -0.133    0.990</t>
  </si>
  <si>
    <t xml:space="preserve">B - A == 0  -11.368      7.322  -1.553  0.28026   </t>
  </si>
  <si>
    <t>C - A == 0  -24.157      7.322  -3.299  0.00654 **</t>
  </si>
  <si>
    <t xml:space="preserve">C - B == 0  -12.789      7.322  -1.747  0.20343   </t>
  </si>
  <si>
    <t xml:space="preserve">B - A == 0    3.974      8.598   0.462  0.88931    </t>
  </si>
  <si>
    <t xml:space="preserve">C - A == 0  -33.382      8.598  -3.883  0.00152 ** </t>
  </si>
  <si>
    <t>C - B == 0  -37.356      8.598  -4.345  &lt; 0.001 ***</t>
  </si>
  <si>
    <t xml:space="preserve">B - A == 0   -3.642      8.161  -0.446    0.896    </t>
  </si>
  <si>
    <t>C - A == 0  -53.842      8.161  -6.597   &lt;1e-05 ***</t>
  </si>
  <si>
    <t>C - B == 0  -50.200      8.161  -6.151   &lt;1e-05 ***</t>
  </si>
  <si>
    <t xml:space="preserve">Average </t>
  </si>
  <si>
    <t xml:space="preserve">B - A == 0   -3.762      8.375  -0.449   0.8951  </t>
  </si>
  <si>
    <t>C - A == 0  -18.067      8.375  -2.157   0.0938 .</t>
  </si>
  <si>
    <t xml:space="preserve">C - B == 0  -14.304      8.375  -1.708   0.2173  </t>
  </si>
  <si>
    <t>B - A == 0   -4.658      9.078  -0.513    0.866</t>
  </si>
  <si>
    <t>C - A == 0    3.018      9.078   0.332    0.941</t>
  </si>
  <si>
    <t>C - B == 0    7.676      9.078   0.846    0.678</t>
  </si>
  <si>
    <t>Fig 3. A</t>
  </si>
  <si>
    <t>Fig 3. B</t>
  </si>
  <si>
    <t>Fig 3. C</t>
  </si>
  <si>
    <t>no LEV</t>
  </si>
  <si>
    <t>with LEV</t>
  </si>
  <si>
    <t xml:space="preserve">B - A == 0   1.8578     4.2915   0.433    0.998    </t>
  </si>
  <si>
    <t>C - A == 0 -61.3821     4.2915 -14.303   &lt;1e-04 ***</t>
  </si>
  <si>
    <t xml:space="preserve">D - A == 0  -1.9319     4.2915  -0.450    0.998    </t>
  </si>
  <si>
    <t xml:space="preserve">E - A == 0   2.4977     4.2915   0.582    0.992    </t>
  </si>
  <si>
    <t>F - A == 0 -61.2548     4.2915 -14.273   &lt;1e-04 ***</t>
  </si>
  <si>
    <t>C - B == 0 -63.2399     4.2915 -14.736   &lt;1e-04 ***</t>
  </si>
  <si>
    <t xml:space="preserve">D - B == 0  -3.7898     4.2915  -0.883    0.949    </t>
  </si>
  <si>
    <t xml:space="preserve">E - B == 0   0.6399     4.2915   0.149    1.000    </t>
  </si>
  <si>
    <t>F - B == 0 -63.1126     4.2915 -14.706   &lt;1e-04 ***</t>
  </si>
  <si>
    <t>D - C == 0  59.4501     4.2915  13.853   &lt;1e-04 ***</t>
  </si>
  <si>
    <t>E - C == 0  63.8797     4.2915  14.885   &lt;1e-04 ***</t>
  </si>
  <si>
    <t xml:space="preserve">F - C == 0   0.1273     4.2915   0.030    1.000    </t>
  </si>
  <si>
    <t xml:space="preserve">E - D == 0   4.4296     4.2915   1.032    0.905    </t>
  </si>
  <si>
    <t>F - D == 0 -59.3229     4.2915 -13.823   &lt;1e-04 ***</t>
  </si>
  <si>
    <t>F - E == 0 -63.7525     4.2915 -14.855   &lt;1e-04 ***</t>
  </si>
  <si>
    <t xml:space="preserve">B - A == 0    1.731      4.431   0.391    0.999    </t>
  </si>
  <si>
    <t>C - A == 0  -62.535      4.431 -14.115   &lt;1e-04 ***</t>
  </si>
  <si>
    <t xml:space="preserve">D - A == 0    2.906      4.431   0.656    0.986    </t>
  </si>
  <si>
    <t xml:space="preserve">E - A == 0   -0.209      4.431  -0.047    1.000    </t>
  </si>
  <si>
    <t>F - A == 0  -58.328      4.431 -13.165   &lt;1e-04 ***</t>
  </si>
  <si>
    <t>C - B == 0  -64.266      4.431 -14.506   &lt;1e-04 ***</t>
  </si>
  <si>
    <t xml:space="preserve">D - B == 0    1.174      4.431   0.265    1.000    </t>
  </si>
  <si>
    <t xml:space="preserve">E - B == 0   -1.940      4.431  -0.438    0.998    </t>
  </si>
  <si>
    <t>F - B == 0  -60.059      4.431 -13.556   &lt;1e-04 ***</t>
  </si>
  <si>
    <t>D - C == 0   65.441      4.431  14.771   &lt;1e-04 ***</t>
  </si>
  <si>
    <t>E - C == 0   62.326      4.431  14.068   &lt;1e-04 ***</t>
  </si>
  <si>
    <t xml:space="preserve">F - C == 0    4.207      4.431   0.950    0.932    </t>
  </si>
  <si>
    <t xml:space="preserve">E - D == 0   -3.115      4.431  -0.703    0.981    </t>
  </si>
  <si>
    <t>F - D == 0  -61.234      4.431 -13.821   &lt;1e-04 ***</t>
  </si>
  <si>
    <t>F - E == 0  -58.119      4.431 -13.118   &lt;1e-04 ***</t>
  </si>
  <si>
    <t>B - A == 0 -0.47526    4.13632  -0.115    1.000</t>
  </si>
  <si>
    <t>C - A == 0 -2.16065    4.13632  -0.522    0.995</t>
  </si>
  <si>
    <t>D - A == 0 -1.75359    4.13632  -0.424    0.998</t>
  </si>
  <si>
    <t>E - A == 0 -3.14595    4.13632  -0.761    0.973</t>
  </si>
  <si>
    <t>F - A == 0 -1.81917    4.13632  -0.440    0.998</t>
  </si>
  <si>
    <t>C - B == 0 -1.68538    4.13632  -0.407    0.998</t>
  </si>
  <si>
    <t>D - B == 0 -1.27832    4.13632  -0.309    1.000</t>
  </si>
  <si>
    <t>E - B == 0 -2.67069    4.13632  -0.646    0.987</t>
  </si>
  <si>
    <t>F - B == 0 -1.34391    4.13632  -0.325    0.999</t>
  </si>
  <si>
    <t>D - C == 0  0.40706    4.13632   0.098    1.000</t>
  </si>
  <si>
    <t>E - C == 0 -0.98531    4.13632  -0.238    1.000</t>
  </si>
  <si>
    <t>F - C == 0  0.34147    4.13632   0.083    1.000</t>
  </si>
  <si>
    <t>E - D == 0 -1.39236    4.13632  -0.337    0.999</t>
  </si>
  <si>
    <t>F - D == 0 -0.06558    4.13632  -0.016    1.000</t>
  </si>
  <si>
    <t>F - E == 0  1.32678    4.13632   0.321    1.000</t>
  </si>
  <si>
    <t>Fig 3. D</t>
  </si>
  <si>
    <t xml:space="preserve">B - A == 0    1.593      6.201   0.257   0.9998    </t>
  </si>
  <si>
    <t>C - A == 0  -48.646      6.201  -7.845   &lt;0.001 ***</t>
  </si>
  <si>
    <t xml:space="preserve">D - A == 0  -13.219      6.201  -2.132   0.2842    </t>
  </si>
  <si>
    <t xml:space="preserve">E - A == 0  -12.137      6.201  -1.957   0.3778    </t>
  </si>
  <si>
    <t xml:space="preserve">F - A == 0  -17.258      6.201  -2.783   0.0728 .  </t>
  </si>
  <si>
    <t>C - B == 0  -50.239      6.201  -8.102   &lt;0.001 ***</t>
  </si>
  <si>
    <t xml:space="preserve">D - B == 0  -14.812      6.201  -2.389   0.1754    </t>
  </si>
  <si>
    <t xml:space="preserve">E - B == 0  -13.730      6.201  -2.214   0.2452    </t>
  </si>
  <si>
    <t xml:space="preserve">F - B == 0  -18.851      6.201  -3.040   0.0381 *  </t>
  </si>
  <si>
    <t>D - C == 0   35.427      6.201   5.713   &lt;0.001 ***</t>
  </si>
  <si>
    <t>E - C == 0   36.508      6.201   5.888   &lt;0.001 ***</t>
  </si>
  <si>
    <t>F - C == 0   31.388      6.201   5.062   &lt;0.001 ***</t>
  </si>
  <si>
    <t xml:space="preserve">E - D == 0    1.081      6.201   0.174   1.0000    </t>
  </si>
  <si>
    <t xml:space="preserve">F - D == 0   -4.039      6.201  -0.651   0.9865    </t>
  </si>
  <si>
    <t xml:space="preserve">F - E == 0   -5.121      6.201  -0.826   0.9617    </t>
  </si>
  <si>
    <t>Fig 3. E</t>
  </si>
  <si>
    <t>Ok107 &gt; dORK NC</t>
  </si>
  <si>
    <t>Genotype4</t>
  </si>
  <si>
    <t>Ok107 &gt; dORK DC</t>
  </si>
  <si>
    <t xml:space="preserve">Genotype </t>
  </si>
  <si>
    <t>Condition</t>
  </si>
  <si>
    <t>Performance Index</t>
  </si>
  <si>
    <t>Control, day sleep</t>
  </si>
  <si>
    <t>1mg/kg, day sleep</t>
  </si>
  <si>
    <t>2mg/kg, day sleep</t>
  </si>
  <si>
    <t>3mg/kg, day sleep</t>
  </si>
  <si>
    <t>4mg/kg, day sleep</t>
  </si>
  <si>
    <t>5mg/kg, day sleep</t>
  </si>
  <si>
    <t>iso31</t>
  </si>
  <si>
    <t>Control, night sleep</t>
  </si>
  <si>
    <t>1mg/kg, night sleep</t>
  </si>
  <si>
    <t>2mg/kg, night sleep</t>
  </si>
  <si>
    <t>3mg/kg, night sleep</t>
  </si>
  <si>
    <t>4mg/kg, night sleep</t>
  </si>
  <si>
    <t>5mg/kg, night sleep</t>
  </si>
  <si>
    <t>B - A == 0  -41.470     23.294  -1.780    0.481</t>
  </si>
  <si>
    <t>C - A == 0  -43.896     23.294  -1.884    0.415</t>
  </si>
  <si>
    <t>D - A == 0  -39.381     23.856  -1.651    0.566</t>
  </si>
  <si>
    <t>E - A == 0  -60.295     23.565  -2.559    0.114</t>
  </si>
  <si>
    <t>F - A == 0  -55.420     23.565  -2.352    0.180</t>
  </si>
  <si>
    <t>C - B == 0   -2.427     24.683  -0.098    1.000</t>
  </si>
  <si>
    <t>D - B == 0    2.089     25.214   0.083    1.000</t>
  </si>
  <si>
    <t>E - B == 0  -18.826     24.939  -0.755    0.974</t>
  </si>
  <si>
    <t>F - B == 0  -13.951     24.939  -0.559    0.993</t>
  </si>
  <si>
    <t>D - C == 0    4.515     25.214   0.179    1.000</t>
  </si>
  <si>
    <t>E - C == 0  -16.399     24.939  -0.658    0.986</t>
  </si>
  <si>
    <t>F - C == 0  -11.524     24.939  -0.462    0.997</t>
  </si>
  <si>
    <t>E - D == 0  -20.914     25.465  -0.821    0.963</t>
  </si>
  <si>
    <t>F - D == 0  -16.039     25.465  -0.630    0.989</t>
  </si>
  <si>
    <t>F - E == 0    4.875     25.192   0.194    1.000</t>
  </si>
  <si>
    <t xml:space="preserve">B - A == 0  -72.707     29.956  -2.427   0.1534  </t>
  </si>
  <si>
    <t>C - A == 0 -100.286     29.631  -3.384   0.0115 *</t>
  </si>
  <si>
    <t>D - A == 0  -87.485     30.679  -2.852   0.0549 .</t>
  </si>
  <si>
    <t>E - A == 0  -89.934     30.679  -2.931   0.0443 *</t>
  </si>
  <si>
    <t xml:space="preserve">F - A == 0  -79.122     30.305  -2.611   0.1008  </t>
  </si>
  <si>
    <t xml:space="preserve">C - B == 0  -27.579     31.436  -0.877   0.9513  </t>
  </si>
  <si>
    <t xml:space="preserve">D - B == 0  -14.778     32.425  -0.456   0.9975  </t>
  </si>
  <si>
    <t xml:space="preserve">E - B == 0  -17.227     32.425  -0.531   0.9948  </t>
  </si>
  <si>
    <t xml:space="preserve">F - B == 0   -6.414     32.071  -0.200   1.0000  </t>
  </si>
  <si>
    <t xml:space="preserve">D - C == 0   12.801     32.125   0.398   0.9987  </t>
  </si>
  <si>
    <t xml:space="preserve">E - C == 0   10.352     32.125   0.322   0.9995  </t>
  </si>
  <si>
    <t xml:space="preserve">F - C == 0   21.165     31.768   0.666   0.9853  </t>
  </si>
  <si>
    <t xml:space="preserve">E - D == 0   -2.449     33.094  -0.074   1.0000  </t>
  </si>
  <si>
    <t xml:space="preserve">F - D == 0    8.364     32.747   0.255   0.9998  </t>
  </si>
  <si>
    <t xml:space="preserve">F - E == 0   10.813     32.747   0.330   0.9995  </t>
  </si>
  <si>
    <t>C - B == 0    18.13       6.09   2.977     0.01 *</t>
  </si>
  <si>
    <t>Genotype 4</t>
  </si>
  <si>
    <t>Genotype 5</t>
  </si>
  <si>
    <t>UAS-AβArctic; UAS-dRAC:DN</t>
  </si>
  <si>
    <t>OK107-Gal4</t>
  </si>
  <si>
    <t>OK107 &gt; AβArctic</t>
  </si>
  <si>
    <t>OK107 &gt; AβArctic; Ok107 &gt; dRAC:DN</t>
  </si>
  <si>
    <t>Ok107 &gt; dRAC:DN</t>
  </si>
  <si>
    <t xml:space="preserve">B - A == 0  10.1714     4.1898   2.428   0.1233    </t>
  </si>
  <si>
    <t>C - A == 0 -48.3847     4.1898 -11.548   &lt;0.001 ***</t>
  </si>
  <si>
    <t xml:space="preserve">D - A == 0   1.6060     4.1898   0.383   0.9953    </t>
  </si>
  <si>
    <t xml:space="preserve">E - A == 0  10.9870     4.1898   2.622   0.0802 .  </t>
  </si>
  <si>
    <t>C - B == 0 -58.5561     4.1898 -13.976   &lt;0.001 ***</t>
  </si>
  <si>
    <t xml:space="preserve">D - B == 0  -8.5653     4.1898  -2.044   0.2591    </t>
  </si>
  <si>
    <t xml:space="preserve">E - B == 0   0.8156     4.1898   0.195   0.9997    </t>
  </si>
  <si>
    <t>D - C == 0  49.9908     4.1898  11.931   &lt;0.001 ***</t>
  </si>
  <si>
    <t>E - C == 0  59.3717     4.1898  14.170   &lt;0.001 ***</t>
  </si>
  <si>
    <t xml:space="preserve">E - D == 0   9.3810     4.1898   2.239   0.1809    </t>
  </si>
  <si>
    <t>Wt</t>
  </si>
  <si>
    <t>Control</t>
  </si>
  <si>
    <t>0.01mg/ml</t>
  </si>
  <si>
    <t>0.05mg/ml</t>
  </si>
  <si>
    <t>0.1mg/ml</t>
  </si>
  <si>
    <t>wt</t>
  </si>
  <si>
    <t>Control day</t>
  </si>
  <si>
    <t>0.01 mg/ml day</t>
  </si>
  <si>
    <t xml:space="preserve">wt </t>
  </si>
  <si>
    <t>0.1 mg/ml day</t>
  </si>
  <si>
    <t>0.05 day</t>
  </si>
  <si>
    <t>Control night</t>
  </si>
  <si>
    <t>0.01 mg/ml night</t>
  </si>
  <si>
    <t>0.1 mg/ml night</t>
  </si>
  <si>
    <t>0.05 night</t>
  </si>
  <si>
    <t>Contol night</t>
  </si>
  <si>
    <t xml:space="preserve">Wt </t>
  </si>
  <si>
    <t>Control Day</t>
  </si>
  <si>
    <t>THIP night</t>
  </si>
  <si>
    <t>THIP day</t>
  </si>
  <si>
    <t>B - A == 0  -42.208      4.786  -8.818  &lt; 0.001 ***</t>
  </si>
  <si>
    <t xml:space="preserve">C - A == 0  -15.801      4.786  -3.301  0.04364 *  </t>
  </si>
  <si>
    <t xml:space="preserve">D - A == 0  -28.211      4.786  -5.894  0.00170 ** </t>
  </si>
  <si>
    <t xml:space="preserve">C - B == 0   26.407      4.786   5.517  0.00255 ** </t>
  </si>
  <si>
    <t xml:space="preserve">D - B == 0   13.997      4.786   2.924  0.07408 .  </t>
  </si>
  <si>
    <t xml:space="preserve">D - C == 0  -12.410      4.786  -2.593  0.11840    </t>
  </si>
  <si>
    <t>age of flies 4-5days</t>
  </si>
  <si>
    <t>age of flies 7-9 days</t>
  </si>
  <si>
    <t>age of flies 8-10 days</t>
  </si>
  <si>
    <t>B - A == 0    5.753      1.595   3.607  0.00121 **</t>
  </si>
  <si>
    <t xml:space="preserve">C - A == 0    3.260      1.595   2.044  0.10549   </t>
  </si>
  <si>
    <t xml:space="preserve">C - B == 0   -2.493      1.595  -1.563  0.26508   </t>
  </si>
  <si>
    <t xml:space="preserve">             Estimate Std. Error t value Pr(&gt;|t|)    </t>
  </si>
  <si>
    <t>B - A == 0  307.30556   18.31174  16.782   &lt;0.001 ***</t>
  </si>
  <si>
    <t>C - A == 0  392.16667   17.76500  22.075   &lt;0.001 ***</t>
  </si>
  <si>
    <t>D - A == 0  362.94017   17.93500  20.236   &lt;0.001 ***</t>
  </si>
  <si>
    <t>E - A == 0  229.77778   17.76500  12.934   &lt;0.001 ***</t>
  </si>
  <si>
    <t>F - A == 0  307.38889   18.31174  16.786   &lt;0.001 ***</t>
  </si>
  <si>
    <t>G - A == 0  390.31481   17.76500  21.971   &lt;0.001 ***</t>
  </si>
  <si>
    <t>H - A == 0  364.55556   17.93500  20.326   &lt;0.001 ***</t>
  </si>
  <si>
    <t>C - B == 0   84.86111   18.31174   4.634   &lt;0.001 ***</t>
  </si>
  <si>
    <t xml:space="preserve">D - B == 0   55.63462   18.47672   3.011   0.0580 .  </t>
  </si>
  <si>
    <t>E - B == 0  -77.52778   18.31174  -4.234   &lt;0.001 ***</t>
  </si>
  <si>
    <t xml:space="preserve">F - B == 0    0.08333   18.84263   0.004   1.0000    </t>
  </si>
  <si>
    <t>G - B == 0   83.00926   18.31174   4.533   &lt;0.001 ***</t>
  </si>
  <si>
    <t xml:space="preserve">H - B == 0   57.25000   18.47672   3.098   0.0455 *  </t>
  </si>
  <si>
    <t xml:space="preserve">D - C == 0  -29.22650   17.93500  -1.630   0.7315    </t>
  </si>
  <si>
    <t>E - C == 0 -162.38889   17.76500  -9.141   &lt;0.001 ***</t>
  </si>
  <si>
    <t>F - C == 0  -84.77778   18.31174  -4.630   &lt;0.001 ***</t>
  </si>
  <si>
    <t xml:space="preserve">G - C == 0   -1.85185   17.76500  -0.104   1.0000    </t>
  </si>
  <si>
    <t xml:space="preserve">H - C == 0  -27.61111   17.93500  -1.540   0.7850    </t>
  </si>
  <si>
    <t>E - D == 0 -133.16239   17.93500  -7.425   &lt;0.001 ***</t>
  </si>
  <si>
    <t xml:space="preserve">F - D == 0  -55.55128   18.47672  -3.007   0.0585 .  </t>
  </si>
  <si>
    <t xml:space="preserve">G - D == 0   27.37464   17.93500   1.526   0.7924    </t>
  </si>
  <si>
    <t xml:space="preserve">H - D == 0    1.61538   18.10341   0.089   1.0000    </t>
  </si>
  <si>
    <t>F - E == 0   77.61111   18.31174   4.238   &lt;0.001 ***</t>
  </si>
  <si>
    <t>G - E == 0  160.53704   17.76500   9.037   &lt;0.001 ***</t>
  </si>
  <si>
    <t>H - E == 0  134.77778   17.93500   7.515   &lt;0.001 ***</t>
  </si>
  <si>
    <t>G - F == 0   82.92593   18.31174   4.529   &lt;0.001 ***</t>
  </si>
  <si>
    <t xml:space="preserve">H - F == 0   57.16667   18.47672   3.094   0.0460 *  </t>
  </si>
  <si>
    <t xml:space="preserve">H - G == 0  -25.75926   17.93500  -1.436   0.8393    </t>
  </si>
  <si>
    <t>B - A == 0   8.1354     0.8618   9.440   &lt;0.001 ***</t>
  </si>
  <si>
    <t>C - A == 0  10.4375     0.8618  12.111   &lt;0.001 ***</t>
  </si>
  <si>
    <t>D - A == 0  11.4792     0.8618  13.320   &lt;0.001 ***</t>
  </si>
  <si>
    <t xml:space="preserve">C - B == 0   2.3021     0.8618   2.671   0.0408 *  </t>
  </si>
  <si>
    <t>D - B == 0   3.3438     0.8618   3.880   &lt;0.001 ***</t>
  </si>
  <si>
    <t xml:space="preserve">D - C == 0   1.0417     0.8618   1.209   0.6221    </t>
  </si>
  <si>
    <t xml:space="preserve">B - A == 0   11.635      7.858   1.481   0.3131   </t>
  </si>
  <si>
    <t>UAS-Abeta40/+</t>
  </si>
  <si>
    <t>B - A == 0    5.538      5.104   1.085    0.530</t>
  </si>
  <si>
    <t>C - A == 0    9.935      5.104   1.946    0.142</t>
  </si>
  <si>
    <t>C - B == 0    4.396      5.104   0.861    0.668</t>
  </si>
  <si>
    <t>B - A == 0   -7.793      4.042  -1.928    0.147</t>
  </si>
  <si>
    <t>C - A == 0   -2.466      4.042  -0.610    0.816</t>
  </si>
  <si>
    <t>C - B == 0    5.328      4.042   1.318    0.395</t>
  </si>
  <si>
    <t xml:space="preserve">B - A == 0    7.365      4.715   1.562   0.4104    </t>
  </si>
  <si>
    <t>C - A == 0  -24.898      4.715  -5.281   &lt;0.001 ***</t>
  </si>
  <si>
    <t xml:space="preserve">D - A == 0  -12.272      4.715  -2.603   0.0585 .  </t>
  </si>
  <si>
    <t>C - B == 0  -32.263      4.715  -6.843   &lt;0.001 ***</t>
  </si>
  <si>
    <t>D - B == 0  -19.637      4.715  -4.165   &lt;0.001 ***</t>
  </si>
  <si>
    <t xml:space="preserve">D - C == 0   12.626      4.715   2.678   0.0490 *  </t>
  </si>
  <si>
    <t>B - A == 0   3.6069     7.2450   0.498    0.959</t>
  </si>
  <si>
    <t>C - A == 0  -0.3282     8.1002  -0.041    1.000</t>
  </si>
  <si>
    <t>D - A == 0  -2.1143     8.1002  -0.261    0.994</t>
  </si>
  <si>
    <t>C - B == 0  -3.9351     8.1002  -0.486    0.962</t>
  </si>
  <si>
    <t>D - B == 0  -5.7212     8.1002  -0.706    0.894</t>
  </si>
  <si>
    <t>D - C == 0  -1.7861     8.8733  -0.201    0.997</t>
  </si>
  <si>
    <t xml:space="preserve">B - A == 0  -19.439      4.763  -4.081  0.00121 ** </t>
  </si>
  <si>
    <t>C - A == 0  -21.699      4.614  -4.703  &lt; 0.001 ***</t>
  </si>
  <si>
    <t xml:space="preserve">C - B == 0   -2.261      4.879  -0.463  0.88887    </t>
  </si>
  <si>
    <t>B - A == 0  -32.845      7.532  -4.361 0.000391 ***</t>
  </si>
  <si>
    <t>C - A == 0  -29.519      6.523  -4.525 0.000296 ***</t>
  </si>
  <si>
    <t xml:space="preserve">C - B == 0    3.325      6.523   0.510 0.866485    </t>
  </si>
  <si>
    <t>B - A == 0  -24.783      7.590  -3.265  0.00992 **</t>
  </si>
  <si>
    <t xml:space="preserve">C - A == 0   -6.655      7.590  -0.877  0.66047   </t>
  </si>
  <si>
    <t>B - A == 0  -14.973      4.793  -3.124  0.00836 **</t>
  </si>
  <si>
    <t xml:space="preserve">C - A == 0    1.170      4.793   0.244  0.96767   </t>
  </si>
  <si>
    <t>C - B == 0   16.143      4.415   3.657  0.00175 **</t>
  </si>
  <si>
    <t>B - A == 0    9.363      5.377   1.741    0.202</t>
  </si>
  <si>
    <t>C - A == 0    5.386      5.377   1.002    0.580</t>
  </si>
  <si>
    <t>C - B == 0   -3.978      5.284  -0.753    0.734</t>
  </si>
  <si>
    <t xml:space="preserve">B - A == 0  -16.492      4.906  -3.362  0.00551 ** </t>
  </si>
  <si>
    <t xml:space="preserve">C - A == 0    5.499      4.906   1.121  0.50821    </t>
  </si>
  <si>
    <t>C - B == 0   21.991      4.906   4.483  &lt; 0.001 ***</t>
  </si>
  <si>
    <t>Nsyb-Arc Con</t>
  </si>
  <si>
    <t>Genotyp 2</t>
  </si>
  <si>
    <t>Nsyb-Arc THIP</t>
  </si>
  <si>
    <t>B - A == 0   19.453      4.413   4.408  0.00044 ***</t>
  </si>
  <si>
    <t>Ok-Arc Con</t>
  </si>
  <si>
    <t>Ok-Arc THIP</t>
  </si>
  <si>
    <t>B - A == 0   16.972      4.581   3.705  0.00235 **</t>
  </si>
  <si>
    <t>B - A == 0   -7.762      9.003  -0.862    0.668</t>
  </si>
  <si>
    <t>C - A == 0   -9.295      9.003  -1.032    0.564</t>
  </si>
  <si>
    <t>C - B == 0   -1.533      9.688  -0.158    0.986</t>
  </si>
  <si>
    <t>Fig 1. J</t>
  </si>
  <si>
    <t>Fig 1. I</t>
  </si>
  <si>
    <t>Fig 1. K</t>
  </si>
  <si>
    <t>Fig 1. L</t>
  </si>
  <si>
    <t>Fig 1. M</t>
  </si>
  <si>
    <t>Fig 1. N</t>
  </si>
  <si>
    <t>age of flies 7-9days</t>
  </si>
  <si>
    <t xml:space="preserve">B - A == 0    6.548      4.152   1.577     0.27    </t>
  </si>
  <si>
    <t>C - A == 0  -64.965      4.152 -15.647   &lt;1e-04 ***</t>
  </si>
  <si>
    <t>C - B == 0  -71.513      4.152 -17.224   &lt;1e-04 ***</t>
  </si>
  <si>
    <t>Data for 0mg/kg and 5mg/kg  LEV see 3C</t>
  </si>
  <si>
    <t>with 7.5mg/kg LEV</t>
  </si>
  <si>
    <t>with 2.5mg/kg LEV</t>
  </si>
  <si>
    <t>Data for 0mg/kg and 5mg/kg  LEV see 3B</t>
  </si>
  <si>
    <t>with 10mg/kg LEV</t>
  </si>
  <si>
    <t>Fig 3. F</t>
  </si>
  <si>
    <t>age of flies 4-5 days</t>
  </si>
  <si>
    <t xml:space="preserve">G </t>
  </si>
  <si>
    <t>age of flies 14-15 days</t>
  </si>
  <si>
    <t>B - A == 0    2.640      2.144   1.231    0.444</t>
  </si>
  <si>
    <t>C - A == 0    1.052      2.144   0.491    0.876</t>
  </si>
  <si>
    <t>C - B == 0   -1.587      2.144  -0.740    0.741</t>
  </si>
  <si>
    <t xml:space="preserve">            Estimate Std. Error t value Pr(&gt;|t|)    </t>
  </si>
  <si>
    <t xml:space="preserve">B - A == 0   0.03861    3.84228    0.01        1    </t>
  </si>
  <si>
    <t>C - A == 0 -38.70437    3.84228  -10.07   &lt;1e-07 ***</t>
  </si>
  <si>
    <t>C - B == 0 -38.74299    3.84228  -10.08   &lt;1e-07 ***</t>
  </si>
  <si>
    <t>TH-Gal4/+</t>
  </si>
  <si>
    <t>GMR23E10-Gal4/+</t>
  </si>
  <si>
    <t>TH &gt; Arc</t>
  </si>
  <si>
    <t>GMR23E10 &gt; Arc</t>
  </si>
  <si>
    <t xml:space="preserve">B - A == 0   0.7584     4.2785   0.177 0.982839    </t>
  </si>
  <si>
    <t>C - A == 0 -18.2551     4.2785  -4.267 0.000444 ***</t>
  </si>
  <si>
    <t>C - B == 0 -19.0135     4.2785  -4.444 0.000252 ***</t>
  </si>
  <si>
    <t xml:space="preserve">B - A == 0   -1.675      3.771  -0.444    0.897    </t>
  </si>
  <si>
    <t>C - A == 0  -21.732      3.771  -5.763   &lt;1e-04 ***</t>
  </si>
  <si>
    <t>C - B == 0  -20.057      3.771  -5.319   &lt;1e-04 ***</t>
  </si>
  <si>
    <t>UAS- dORK NC/+</t>
  </si>
  <si>
    <t>UAS- dORK C2/+</t>
  </si>
  <si>
    <t>Ok107 &gt;Arc, Ok107 &gt; dORK NC</t>
  </si>
  <si>
    <t>OK107 &gt; Arc, Ok107 &gt; dORK DC</t>
  </si>
  <si>
    <t>Ok107 &gt; dORK C2</t>
  </si>
  <si>
    <t>B - A == 0   0.5420     2.8333   0.191    0.997</t>
  </si>
  <si>
    <t>C - A == 0   2.0951     2.8333   0.739    0.880</t>
  </si>
  <si>
    <t>D - A == 0   2.4315     2.8333   0.858    0.826</t>
  </si>
  <si>
    <t>C - B == 0   1.5530     2.8333   0.548    0.946</t>
  </si>
  <si>
    <t>D - B == 0   1.8895     2.8333   0.667    0.909</t>
  </si>
  <si>
    <t>D - C == 0   0.3364     2.8333   0.119    0.999</t>
  </si>
  <si>
    <t xml:space="preserve">B - A == 0   -3.391      3.860  -0.878  0.81598    </t>
  </si>
  <si>
    <t xml:space="preserve">C - A == 0   -1.257      3.860  -0.326  0.98781    </t>
  </si>
  <si>
    <t>D - A == 0  -19.969      3.860  -5.173  &lt; 0.001 ***</t>
  </si>
  <si>
    <t xml:space="preserve">C - B == 0    2.133      3.860   0.553  0.94505    </t>
  </si>
  <si>
    <t xml:space="preserve">D - B == 0  -16.578      3.860  -4.294  0.00106 ** </t>
  </si>
  <si>
    <t>D - C == 0  -18.711      3.860  -4.847  &lt; 0.001 ***</t>
  </si>
  <si>
    <t>Normal condition</t>
  </si>
  <si>
    <t>Image</t>
  </si>
  <si>
    <t>ROI</t>
  </si>
  <si>
    <t>Area</t>
  </si>
  <si>
    <t>Mean</t>
  </si>
  <si>
    <t>StdDev</t>
  </si>
  <si>
    <t>Min</t>
  </si>
  <si>
    <t>Max</t>
  </si>
  <si>
    <t>Perim.</t>
  </si>
  <si>
    <t>Mean - Bg</t>
  </si>
  <si>
    <t>ISO 1</t>
  </si>
  <si>
    <t>MB1</t>
  </si>
  <si>
    <t>MB2</t>
  </si>
  <si>
    <t>Bg</t>
  </si>
  <si>
    <t>ISO 2</t>
  </si>
  <si>
    <t>Arc 1</t>
  </si>
  <si>
    <t>Arc 3</t>
  </si>
  <si>
    <t>Avg Mean MB</t>
  </si>
  <si>
    <t>sem</t>
  </si>
  <si>
    <t>ISO</t>
  </si>
  <si>
    <t>ARC</t>
  </si>
  <si>
    <t>LEV</t>
  </si>
  <si>
    <t>ISO 3</t>
  </si>
  <si>
    <t>ISO 4</t>
  </si>
  <si>
    <t>Arc 2</t>
  </si>
  <si>
    <t>Arc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</si>
</sst>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color rgb="FF000000"/>
      <name val="Lucida Console"/>
      <family val="3"/>
    </font>
    <font>
      <sz val="10"/>
      <color theme="1"/>
      <name val="Arial Unicode MS"/>
      <family val="2"/>
    </font>
    <font>
      <sz val="12"/>
      <color rgb="FF000000"/>
      <name val="Calibri"/>
      <family val="2"/>
      <scheme val="minor"/>
    </font>
    <font>
      <sz val="8"/>
      <color theme="1"/>
      <name val="Lucida Console"/>
      <family val="3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9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9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7">
    <xf numFmtId="0" fontId="0" fillId="0" borderId="0" xfId="0"/>
    <xf numFmtId="0" fontId="1" fillId="2" borderId="0" xfId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1" applyAlignment="1">
      <alignment vertical="center"/>
    </xf>
    <xf numFmtId="0" fontId="0" fillId="0" borderId="0" xfId="0"/>
    <xf numFmtId="0" fontId="0" fillId="0" borderId="3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7" fillId="0" borderId="3" xfId="0" applyFont="1" applyBorder="1"/>
    <xf numFmtId="0" fontId="7" fillId="0" borderId="11" xfId="0" applyFont="1" applyBorder="1"/>
    <xf numFmtId="0" fontId="0" fillId="0" borderId="14" xfId="0" applyBorder="1"/>
    <xf numFmtId="0" fontId="0" fillId="0" borderId="15" xfId="0" applyBorder="1"/>
    <xf numFmtId="0" fontId="0" fillId="0" borderId="13" xfId="0" applyBorder="1"/>
    <xf numFmtId="164" fontId="7" fillId="0" borderId="3" xfId="0" applyNumberFormat="1" applyFont="1" applyBorder="1"/>
    <xf numFmtId="164" fontId="7" fillId="0" borderId="11" xfId="0" applyNumberFormat="1" applyFont="1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9" xfId="0" applyNumberFormat="1" applyBorder="1"/>
    <xf numFmtId="164" fontId="0" fillId="0" borderId="3" xfId="0" applyNumberFormat="1" applyBorder="1"/>
    <xf numFmtId="164" fontId="0" fillId="0" borderId="15" xfId="0" applyNumberFormat="1" applyBorder="1"/>
    <xf numFmtId="164" fontId="0" fillId="0" borderId="0" xfId="0" applyNumberFormat="1"/>
    <xf numFmtId="0" fontId="7" fillId="0" borderId="2" xfId="0" applyFont="1" applyBorder="1" applyProtection="1">
      <protection locked="0"/>
    </xf>
    <xf numFmtId="0" fontId="7" fillId="0" borderId="1" xfId="0" applyFont="1" applyBorder="1"/>
    <xf numFmtId="0" fontId="0" fillId="0" borderId="4" xfId="0" applyBorder="1"/>
    <xf numFmtId="0" fontId="0" fillId="0" borderId="5" xfId="0" applyBorder="1"/>
    <xf numFmtId="0" fontId="0" fillId="0" borderId="10" xfId="0" applyBorder="1"/>
    <xf numFmtId="164" fontId="7" fillId="0" borderId="1" xfId="0" applyNumberFormat="1" applyFont="1" applyBorder="1"/>
    <xf numFmtId="164" fontId="0" fillId="0" borderId="4" xfId="0" applyNumberFormat="1" applyBorder="1"/>
    <xf numFmtId="164" fontId="0" fillId="0" borderId="5" xfId="0" applyNumberFormat="1" applyBorder="1"/>
    <xf numFmtId="0" fontId="0" fillId="0" borderId="0" xfId="0" applyFont="1"/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88</xdr:row>
      <xdr:rowOff>0</xdr:rowOff>
    </xdr:from>
    <xdr:to>
      <xdr:col>27</xdr:col>
      <xdr:colOff>536571</xdr:colOff>
      <xdr:row>193</xdr:row>
      <xdr:rowOff>98195</xdr:rowOff>
    </xdr:to>
    <xdr:sp macro="" textlink="">
      <xdr:nvSpPr>
        <xdr:cNvPr id="2" name="TextBox 9">
          <a:extLst>
            <a:ext uri="{FF2B5EF4-FFF2-40B4-BE49-F238E27FC236}">
              <a16:creationId xmlns:a16="http://schemas.microsoft.com/office/drawing/2014/main" id="{6CA8037B-7BA2-41BD-A858-2A2825AE0629}"/>
            </a:ext>
          </a:extLst>
        </xdr:cNvPr>
        <xdr:cNvSpPr txBox="1"/>
      </xdr:nvSpPr>
      <xdr:spPr>
        <a:xfrm>
          <a:off x="16733520" y="16093440"/>
          <a:ext cx="5245731" cy="1930059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Linear Hypotheses 2h:</a:t>
          </a:r>
        </a:p>
        <a:p>
          <a:r>
            <a:rPr lang="en-US"/>
            <a:t>           Estimate Std. Error t value Pr(&gt;|t|)    </a:t>
          </a:r>
        </a:p>
        <a:p>
          <a:r>
            <a:rPr lang="en-US"/>
            <a:t>B - A == 0   1.5930     6.5271   0.244   1.0000    </a:t>
          </a:r>
        </a:p>
        <a:p>
          <a:r>
            <a:rPr lang="en-US"/>
            <a:t>C - A == 0 -48.6456     6.5271  -7.453    &lt;0.01 ***</a:t>
          </a:r>
        </a:p>
        <a:p>
          <a:r>
            <a:rPr lang="en-US"/>
            <a:t>D - A == 0  -5.8145     6.5271  -0.891   0.9991    </a:t>
          </a:r>
        </a:p>
        <a:p>
          <a:r>
            <a:rPr lang="en-US"/>
            <a:t>E - A == 0  -7.8041     6.5271  -1.196   0.9885    </a:t>
          </a:r>
        </a:p>
        <a:p>
          <a:r>
            <a:rPr lang="en-US"/>
            <a:t>F - A == 0 -38.2621     6.5271  -5.862    &lt;0.01 ***</a:t>
          </a:r>
        </a:p>
        <a:p>
          <a:r>
            <a:rPr lang="en-US"/>
            <a:t>G - A == 0 -13.2186     6.5271  -2.025   0.6751    </a:t>
          </a:r>
        </a:p>
        <a:p>
          <a:r>
            <a:rPr lang="en-US"/>
            <a:t>H - A == 0 -12.1374     6.5271  -1.860   0.7812    </a:t>
          </a:r>
        </a:p>
        <a:p>
          <a:r>
            <a:rPr lang="en-US"/>
            <a:t>I - A == 0 -17.2579     6.5271  -2.644   0.2663    </a:t>
          </a:r>
        </a:p>
        <a:p>
          <a:r>
            <a:rPr lang="en-US"/>
            <a:t>J - A == 0 -15.5180     6.5271  -2.377   0.4296    </a:t>
          </a:r>
        </a:p>
        <a:p>
          <a:r>
            <a:rPr lang="en-US"/>
            <a:t>K - A == 0 -13.3935     6.5271  -2.052   0.6571    </a:t>
          </a:r>
        </a:p>
        <a:p>
          <a:r>
            <a:rPr lang="en-US"/>
            <a:t>L - A == 0 -31.3767     6.5271  -4.807    &lt;0.01 ***</a:t>
          </a:r>
        </a:p>
        <a:p>
          <a:r>
            <a:rPr lang="en-US"/>
            <a:t>C - B == 0 -50.2386     6.5271  -7.697    &lt;0.01 ***</a:t>
          </a:r>
        </a:p>
        <a:p>
          <a:r>
            <a:rPr lang="en-US"/>
            <a:t>D - B == 0  -7.4075     6.5271  -1.135   0.9925    </a:t>
          </a:r>
        </a:p>
        <a:p>
          <a:r>
            <a:rPr lang="en-US"/>
            <a:t>E - B == 0  -9.3971     6.5271  -1.440   0.9532    </a:t>
          </a:r>
        </a:p>
        <a:p>
          <a:r>
            <a:rPr lang="en-US"/>
            <a:t>F - B == 0 -39.8551     6.5271  -6.106    &lt;0.01 ***</a:t>
          </a:r>
        </a:p>
        <a:p>
          <a:r>
            <a:rPr lang="en-US"/>
            <a:t>G - B == 0 -14.8116     6.5271  -2.269   0.5039    </a:t>
          </a:r>
        </a:p>
        <a:p>
          <a:r>
            <a:rPr lang="en-US"/>
            <a:t>H - B == 0 -13.7304     6.5271  -2.104   0.6211    </a:t>
          </a:r>
        </a:p>
        <a:p>
          <a:r>
            <a:rPr lang="en-US"/>
            <a:t>I - B == 0 -18.8509     6.5271  -2.888   0.1577    </a:t>
          </a:r>
        </a:p>
        <a:p>
          <a:r>
            <a:rPr lang="en-US"/>
            <a:t>J - B == 0 -17.1110     6.5271  -2.622   0.2783    </a:t>
          </a:r>
        </a:p>
        <a:p>
          <a:r>
            <a:rPr lang="en-US"/>
            <a:t>K - B == 0 -14.9865     6.5271  -2.296   0.4843    </a:t>
          </a:r>
        </a:p>
        <a:p>
          <a:r>
            <a:rPr lang="en-US"/>
            <a:t>L - B == 0 -32.9697     6.5271  -5.051    &lt;0.01 ***</a:t>
          </a:r>
        </a:p>
        <a:p>
          <a:r>
            <a:rPr lang="en-US"/>
            <a:t>D - C == 0  42.8311     6.5271   6.562    &lt;0.01 ***</a:t>
          </a:r>
        </a:p>
        <a:p>
          <a:r>
            <a:rPr lang="en-US"/>
            <a:t>E - C == 0  40.8415     6.5271   6.257    &lt;0.01 ***</a:t>
          </a:r>
        </a:p>
        <a:p>
          <a:r>
            <a:rPr lang="en-US"/>
            <a:t>F - C == 0  10.3835     6.5271   1.591   0.9094    </a:t>
          </a:r>
        </a:p>
        <a:p>
          <a:r>
            <a:rPr lang="en-US"/>
            <a:t>G - C == 0  35.4270     6.5271   5.428    &lt;0.01 ***</a:t>
          </a:r>
        </a:p>
        <a:p>
          <a:r>
            <a:rPr lang="en-US"/>
            <a:t>H - C == 0  36.5083     6.5271   5.593    &lt;0.01 ***</a:t>
          </a:r>
        </a:p>
        <a:p>
          <a:r>
            <a:rPr lang="en-US"/>
            <a:t>I - C == 0  31.3877     6.5271   4.809    &lt;0.01 ***</a:t>
          </a:r>
        </a:p>
        <a:p>
          <a:r>
            <a:rPr lang="en-US"/>
            <a:t>J - C == 0  33.1276     6.5271   5.075    &lt;0.01 ***</a:t>
          </a:r>
        </a:p>
        <a:p>
          <a:r>
            <a:rPr lang="en-US"/>
            <a:t>K - C == 0  35.2521     6.5271   5.401    &lt;0.01 ***</a:t>
          </a:r>
        </a:p>
        <a:p>
          <a:r>
            <a:rPr lang="en-US"/>
            <a:t>L - C == 0  17.2689     6.5271   2.646   0.2661    </a:t>
          </a:r>
        </a:p>
        <a:p>
          <a:r>
            <a:rPr lang="en-US"/>
            <a:t>E - D == 0  -1.9897     6.5271  -0.305   1.0000    </a:t>
          </a:r>
        </a:p>
        <a:p>
          <a:r>
            <a:rPr lang="en-US"/>
            <a:t>F - D == 0 -32.4476     6.5271  -4.971    &lt;0.01 ***</a:t>
          </a:r>
        </a:p>
        <a:p>
          <a:r>
            <a:rPr lang="en-US"/>
            <a:t>G - D == 0  -7.4041     6.5271  -1.134   0.9925    </a:t>
          </a:r>
        </a:p>
        <a:p>
          <a:r>
            <a:rPr lang="en-US"/>
            <a:t>H - D == 0  -6.3229     6.5271  -0.969   0.9981    </a:t>
          </a:r>
        </a:p>
        <a:p>
          <a:r>
            <a:rPr lang="en-US"/>
            <a:t>I - D == 0 -11.4435     6.5271  -1.753   0.8394    </a:t>
          </a:r>
        </a:p>
        <a:p>
          <a:r>
            <a:rPr lang="en-US"/>
            <a:t>J - D == 0  -9.7036     6.5271  -1.487   0.9416    </a:t>
          </a:r>
        </a:p>
        <a:p>
          <a:r>
            <a:rPr lang="en-US"/>
            <a:t>K - D == 0  -7.5791     6.5271  -1.161   0.9909    </a:t>
          </a:r>
        </a:p>
        <a:p>
          <a:r>
            <a:rPr lang="en-US"/>
            <a:t>L - D == 0 -25.5623     6.5271  -3.916    &lt;0.01 ** </a:t>
          </a:r>
        </a:p>
        <a:p>
          <a:r>
            <a:rPr lang="en-US"/>
            <a:t>F - E == 0 -30.4580     6.5271  -4.666    &lt;0.01 ***</a:t>
          </a:r>
        </a:p>
        <a:p>
          <a:r>
            <a:rPr lang="en-US"/>
            <a:t>G - E == 0  -5.4144     6.5271  -0.830   0.9995    </a:t>
          </a:r>
        </a:p>
        <a:p>
          <a:r>
            <a:rPr lang="en-US"/>
            <a:t>H - E == 0  -4.3332     6.5271  -0.664   0.9999    </a:t>
          </a:r>
        </a:p>
        <a:p>
          <a:r>
            <a:rPr lang="en-US"/>
            <a:t>I - E == 0  -9.4538     6.5271  -1.448   0.9513    </a:t>
          </a:r>
        </a:p>
        <a:p>
          <a:r>
            <a:rPr lang="en-US"/>
            <a:t>J - E == 0  -7.7139     6.5271  -1.182   0.9895    </a:t>
          </a:r>
        </a:p>
        <a:p>
          <a:r>
            <a:rPr lang="en-US"/>
            <a:t>K - E == 0  -5.5894     6.5271  -0.856   0.9994    </a:t>
          </a:r>
        </a:p>
        <a:p>
          <a:r>
            <a:rPr lang="en-US"/>
            <a:t>L - E == 0 -23.5726     6.5271  -3.612   0.0213 *  </a:t>
          </a:r>
        </a:p>
        <a:p>
          <a:r>
            <a:rPr lang="en-US"/>
            <a:t>G - F == 0  25.0435     6.5271   3.837    &lt;0.01 ** </a:t>
          </a:r>
        </a:p>
        <a:p>
          <a:r>
            <a:rPr lang="en-US"/>
            <a:t>H - F == 0  26.1247     6.5271   4.003    &lt;0.01 ** </a:t>
          </a:r>
        </a:p>
        <a:p>
          <a:r>
            <a:rPr lang="en-US"/>
            <a:t>I - F == 0  21.0041     6.5271   3.218   0.0682 .  </a:t>
          </a:r>
        </a:p>
        <a:p>
          <a:r>
            <a:rPr lang="en-US"/>
            <a:t>J - F == 0  22.7441     6.5271   3.485   0.0322 *  </a:t>
          </a:r>
        </a:p>
        <a:p>
          <a:r>
            <a:rPr lang="en-US"/>
            <a:t>K - F == 0  24.8686     6.5271   3.810   0.0112 *  </a:t>
          </a:r>
        </a:p>
        <a:p>
          <a:r>
            <a:rPr lang="en-US"/>
            <a:t>L - F == 0   6.8853     6.5271   1.055   0.9960    </a:t>
          </a:r>
        </a:p>
        <a:p>
          <a:r>
            <a:rPr lang="en-US"/>
            <a:t>H - G == 0   1.0812     6.5271   0.166   1.0000    </a:t>
          </a:r>
        </a:p>
        <a:p>
          <a:r>
            <a:rPr lang="en-US"/>
            <a:t>I - G == 0  -4.0394     6.5271  -0.619   1.0000    </a:t>
          </a:r>
        </a:p>
        <a:p>
          <a:r>
            <a:rPr lang="en-US"/>
            <a:t>J - G == 0  -2.2994     6.5271  -0.352   1.0000    </a:t>
          </a:r>
        </a:p>
        <a:p>
          <a:r>
            <a:rPr lang="en-US"/>
            <a:t>K - G == 0  -0.1749     6.5271  -0.027   1.0000    </a:t>
          </a:r>
        </a:p>
        <a:p>
          <a:r>
            <a:rPr lang="en-US"/>
            <a:t>L - G == 0 -18.1582     6.5271  -2.782   0.2002    </a:t>
          </a:r>
        </a:p>
        <a:p>
          <a:r>
            <a:rPr lang="en-US"/>
            <a:t>I - H == 0  -5.1206     6.5271  -0.785   0.9997    </a:t>
          </a:r>
        </a:p>
        <a:p>
          <a:r>
            <a:rPr lang="en-US"/>
            <a:t>J - H == 0  -3.3807     6.5271  -0.518   1.0000    </a:t>
          </a:r>
        </a:p>
        <a:p>
          <a:r>
            <a:rPr lang="en-US"/>
            <a:t>K - H == 0  -1.2562     6.5271  -0.192   1.0000    </a:t>
          </a:r>
        </a:p>
        <a:p>
          <a:r>
            <a:rPr lang="en-US"/>
            <a:t>L - H == 0 -19.2394     6.5271  -2.948   0.1370    </a:t>
          </a:r>
        </a:p>
        <a:p>
          <a:r>
            <a:rPr lang="en-US"/>
            <a:t>J - I == 0   1.7399     6.5271   0.267   1.0000    </a:t>
          </a:r>
        </a:p>
        <a:p>
          <a:r>
            <a:rPr lang="en-US"/>
            <a:t>K - I == 0   3.8644     6.5271   0.592   1.0000    </a:t>
          </a:r>
        </a:p>
        <a:p>
          <a:r>
            <a:rPr lang="en-US"/>
            <a:t>L - I == 0 -14.1188     6.5271  -2.163   0.5789    </a:t>
          </a:r>
        </a:p>
        <a:p>
          <a:r>
            <a:rPr lang="en-US"/>
            <a:t>K - J == 0   2.1245     6.5271   0.325   1.0000    </a:t>
          </a:r>
        </a:p>
        <a:p>
          <a:r>
            <a:rPr lang="en-US"/>
            <a:t>L - J == 0 -15.8587     6.5271  -2.430   0.3945    </a:t>
          </a:r>
        </a:p>
        <a:p>
          <a:r>
            <a:rPr lang="en-US"/>
            <a:t>L - K == 0 -17.9832     6.5271  -2.755   0.2124    </a:t>
          </a:r>
        </a:p>
        <a:p>
          <a:r>
            <a:rPr lang="en-US"/>
            <a:t>---</a:t>
          </a:r>
        </a:p>
        <a:p>
          <a:r>
            <a:rPr lang="en-US"/>
            <a:t>Signif. codes:  0 ‘***’ 0.001 ‘**’ 0.01 ‘*’ 0.05 ‘.’ 0.1 ‘ ’ 1</a:t>
          </a:r>
        </a:p>
        <a:p>
          <a:r>
            <a:rPr lang="en-US"/>
            <a:t>(Adjusted p values reported -- single-step method)</a:t>
          </a:r>
        </a:p>
      </xdr:txBody>
    </xdr:sp>
    <xdr:clientData/>
  </xdr:twoCellAnchor>
  <xdr:twoCellAnchor>
    <xdr:from>
      <xdr:col>28</xdr:col>
      <xdr:colOff>0</xdr:colOff>
      <xdr:row>88</xdr:row>
      <xdr:rowOff>0</xdr:rowOff>
    </xdr:from>
    <xdr:to>
      <xdr:col>34</xdr:col>
      <xdr:colOff>536571</xdr:colOff>
      <xdr:row>193</xdr:row>
      <xdr:rowOff>98195</xdr:rowOff>
    </xdr:to>
    <xdr:sp macro="" textlink="">
      <xdr:nvSpPr>
        <xdr:cNvPr id="3" name="TextBox 9">
          <a:extLst>
            <a:ext uri="{FF2B5EF4-FFF2-40B4-BE49-F238E27FC236}">
              <a16:creationId xmlns:a16="http://schemas.microsoft.com/office/drawing/2014/main" id="{F296CA0E-38DE-4FE4-9BBB-514C6CAA01EC}"/>
            </a:ext>
          </a:extLst>
        </xdr:cNvPr>
        <xdr:cNvSpPr txBox="1"/>
      </xdr:nvSpPr>
      <xdr:spPr>
        <a:xfrm>
          <a:off x="22227540" y="16093440"/>
          <a:ext cx="5245731" cy="1930059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Linear Hypotheses 0h:</a:t>
          </a:r>
        </a:p>
        <a:p>
          <a:r>
            <a:rPr lang="en-US"/>
            <a:t>            Estimate Std. Error t value Pr(&gt;|t|)    </a:t>
          </a:r>
        </a:p>
        <a:p>
          <a:r>
            <a:rPr lang="en-US"/>
            <a:t>B - A == 0  -0.47526    5.01806  -0.095   1.0000    </a:t>
          </a:r>
        </a:p>
        <a:p>
          <a:r>
            <a:rPr lang="en-US"/>
            <a:t>C - A == 0  -2.16065    5.01806  -0.431   1.0000    </a:t>
          </a:r>
        </a:p>
        <a:p>
          <a:r>
            <a:rPr lang="en-US"/>
            <a:t>D - A == 0  -1.75359    5.01806  -0.349   1.0000    </a:t>
          </a:r>
        </a:p>
        <a:p>
          <a:r>
            <a:rPr lang="en-US"/>
            <a:t>E - A == 0  -3.14595    5.01806  -0.627   1.0000    </a:t>
          </a:r>
        </a:p>
        <a:p>
          <a:r>
            <a:rPr lang="en-US"/>
            <a:t>F - A == 0  -1.81917    5.01806  -0.363   1.0000    </a:t>
          </a:r>
        </a:p>
        <a:p>
          <a:r>
            <a:rPr lang="en-US"/>
            <a:t>G - A == 0 -17.58932    5.01806  -3.505   0.0295 *  </a:t>
          </a:r>
        </a:p>
        <a:p>
          <a:r>
            <a:rPr lang="en-US"/>
            <a:t>H - A == 0 -19.09528    5.01806  -3.805   0.0107 *  </a:t>
          </a:r>
        </a:p>
        <a:p>
          <a:r>
            <a:rPr lang="en-US"/>
            <a:t>I - A == 0 -17.02225    5.01806  -3.392   0.0417 *  </a:t>
          </a:r>
        </a:p>
        <a:p>
          <a:r>
            <a:rPr lang="en-US"/>
            <a:t>J - A == 0 -46.85334    5.01806  -9.337    &lt;0.01 ***</a:t>
          </a:r>
        </a:p>
        <a:p>
          <a:r>
            <a:rPr lang="en-US"/>
            <a:t>K - A == 0 -47.82253    5.01806  -9.530    &lt;0.01 ***</a:t>
          </a:r>
        </a:p>
        <a:p>
          <a:r>
            <a:rPr lang="en-US"/>
            <a:t>L - A == 0 -45.34640    5.01806  -9.037    &lt;0.01 ***</a:t>
          </a:r>
        </a:p>
        <a:p>
          <a:r>
            <a:rPr lang="en-US"/>
            <a:t>C - B == 0  -1.68538    5.01806  -0.336   1.0000    </a:t>
          </a:r>
        </a:p>
        <a:p>
          <a:r>
            <a:rPr lang="en-US"/>
            <a:t>D - B == 0  -1.27832    5.01806  -0.255   1.0000    </a:t>
          </a:r>
        </a:p>
        <a:p>
          <a:r>
            <a:rPr lang="en-US"/>
            <a:t>E - B == 0  -2.67069    5.01806  -0.532   1.0000    </a:t>
          </a:r>
        </a:p>
        <a:p>
          <a:r>
            <a:rPr lang="en-US"/>
            <a:t>F - B == 0  -1.34391    5.01806  -0.268   1.0000    </a:t>
          </a:r>
        </a:p>
        <a:p>
          <a:r>
            <a:rPr lang="en-US"/>
            <a:t>G - B == 0 -17.11405    5.01806  -3.410   0.0388 *  </a:t>
          </a:r>
        </a:p>
        <a:p>
          <a:r>
            <a:rPr lang="en-US"/>
            <a:t>H - B == 0 -18.62002    5.01806  -3.711   0.0153 *  </a:t>
          </a:r>
        </a:p>
        <a:p>
          <a:r>
            <a:rPr lang="en-US"/>
            <a:t>I - B == 0 -16.54698    5.01806  -3.297   0.0539 .  </a:t>
          </a:r>
        </a:p>
        <a:p>
          <a:r>
            <a:rPr lang="en-US"/>
            <a:t>J - B == 0 -46.37807    5.01806  -9.242    &lt;0.01 ***</a:t>
          </a:r>
        </a:p>
        <a:p>
          <a:r>
            <a:rPr lang="en-US"/>
            <a:t>K - B == 0 -47.34727    5.01806  -9.435    &lt;0.01 ***</a:t>
          </a:r>
        </a:p>
        <a:p>
          <a:r>
            <a:rPr lang="en-US"/>
            <a:t>L - B == 0 -44.87113    5.01806  -8.942    &lt;0.01 ***</a:t>
          </a:r>
        </a:p>
        <a:p>
          <a:r>
            <a:rPr lang="en-US"/>
            <a:t>D - C == 0   0.40706    5.01806   0.081   1.0000    </a:t>
          </a:r>
        </a:p>
        <a:p>
          <a:r>
            <a:rPr lang="en-US"/>
            <a:t>E - C == 0  -0.98531    5.01806  -0.196   1.0000    </a:t>
          </a:r>
        </a:p>
        <a:p>
          <a:r>
            <a:rPr lang="en-US"/>
            <a:t>F - C == 0   0.34147    5.01806   0.068   1.0000    </a:t>
          </a:r>
        </a:p>
        <a:p>
          <a:r>
            <a:rPr lang="en-US"/>
            <a:t>G - C == 0 -15.42867    5.01806  -3.075   0.1002    </a:t>
          </a:r>
        </a:p>
        <a:p>
          <a:r>
            <a:rPr lang="en-US"/>
            <a:t>H - C == 0 -16.93463    5.01806  -3.375   0.0439 *  </a:t>
          </a:r>
        </a:p>
        <a:p>
          <a:r>
            <a:rPr lang="en-US"/>
            <a:t>I - C == 0 -14.86160    5.01806  -2.962   0.1326    </a:t>
          </a:r>
        </a:p>
        <a:p>
          <a:r>
            <a:rPr lang="en-US"/>
            <a:t>J - C == 0 -44.69269    5.01806  -8.906    &lt;0.01 ***</a:t>
          </a:r>
        </a:p>
        <a:p>
          <a:r>
            <a:rPr lang="en-US"/>
            <a:t>K - C == 0 -45.66188    5.01806  -9.100    &lt;0.01 ***</a:t>
          </a:r>
        </a:p>
        <a:p>
          <a:r>
            <a:rPr lang="en-US"/>
            <a:t>L - C == 0 -43.18575    5.01806  -8.606    &lt;0.01 ***</a:t>
          </a:r>
        </a:p>
        <a:p>
          <a:r>
            <a:rPr lang="en-US"/>
            <a:t>E - D == 0  -1.39236    5.01806  -0.277   1.0000    </a:t>
          </a:r>
        </a:p>
        <a:p>
          <a:r>
            <a:rPr lang="en-US"/>
            <a:t>F - D == 0  -0.06558    5.01806  -0.013   1.0000    </a:t>
          </a:r>
        </a:p>
        <a:p>
          <a:r>
            <a:rPr lang="en-US"/>
            <a:t>G - D == 0 -15.83573    5.01806  -3.156   0.0811 .  </a:t>
          </a:r>
        </a:p>
        <a:p>
          <a:r>
            <a:rPr lang="en-US"/>
            <a:t>H - D == 0 -17.34169    5.01806  -3.456   0.0348 *  </a:t>
          </a:r>
        </a:p>
        <a:p>
          <a:r>
            <a:rPr lang="en-US"/>
            <a:t>I - D == 0 -15.26866    5.01806  -3.043   0.1083    </a:t>
          </a:r>
        </a:p>
        <a:p>
          <a:r>
            <a:rPr lang="en-US"/>
            <a:t>J - D == 0 -45.09975    5.01806  -8.987    &lt;0.01 ***</a:t>
          </a:r>
        </a:p>
        <a:p>
          <a:r>
            <a:rPr lang="en-US"/>
            <a:t>K - D == 0 -46.06894    5.01806  -9.181    &lt;0.01 ***</a:t>
          </a:r>
        </a:p>
        <a:p>
          <a:r>
            <a:rPr lang="en-US"/>
            <a:t>L - D == 0 -43.59281    5.01806  -8.687    &lt;0.01 ***</a:t>
          </a:r>
        </a:p>
        <a:p>
          <a:r>
            <a:rPr lang="en-US"/>
            <a:t>F - E == 0   1.32678    5.01806   0.264   1.0000    </a:t>
          </a:r>
        </a:p>
        <a:p>
          <a:r>
            <a:rPr lang="en-US"/>
            <a:t>G - E == 0 -14.44336    5.01806  -2.878   0.1614    </a:t>
          </a:r>
        </a:p>
        <a:p>
          <a:r>
            <a:rPr lang="en-US"/>
            <a:t>H - E == 0 -15.94933    5.01806  -3.178   0.0754 .  </a:t>
          </a:r>
        </a:p>
        <a:p>
          <a:r>
            <a:rPr lang="en-US"/>
            <a:t>I - E == 0 -13.87630    5.01806  -2.765   0.2072    </a:t>
          </a:r>
        </a:p>
        <a:p>
          <a:r>
            <a:rPr lang="en-US"/>
            <a:t>J - E == 0 -43.70739    5.01806  -8.710    &lt;0.01 ***</a:t>
          </a:r>
        </a:p>
        <a:p>
          <a:r>
            <a:rPr lang="en-US"/>
            <a:t>K - E == 0 -44.67658    5.01806  -8.903    &lt;0.01 ***</a:t>
          </a:r>
        </a:p>
        <a:p>
          <a:r>
            <a:rPr lang="en-US"/>
            <a:t>L - E == 0 -42.20044    5.01806  -8.410    &lt;0.01 ***</a:t>
          </a:r>
        </a:p>
        <a:p>
          <a:r>
            <a:rPr lang="en-US"/>
            <a:t>G - F == 0 -15.77014    5.01806  -3.143   0.0832 .  </a:t>
          </a:r>
        </a:p>
        <a:p>
          <a:r>
            <a:rPr lang="en-US"/>
            <a:t>H - F == 0 -17.27611    5.01806  -3.443   0.0360 *  </a:t>
          </a:r>
        </a:p>
        <a:p>
          <a:r>
            <a:rPr lang="en-US"/>
            <a:t>I - F == 0 -15.20307    5.01806  -3.030   0.1108    </a:t>
          </a:r>
        </a:p>
        <a:p>
          <a:r>
            <a:rPr lang="en-US"/>
            <a:t>J - F == 0 -45.03417    5.01806  -8.974    &lt;0.01 ***</a:t>
          </a:r>
        </a:p>
        <a:p>
          <a:r>
            <a:rPr lang="en-US"/>
            <a:t>K - F == 0 -46.00336    5.01806  -9.168    &lt;0.01 ***</a:t>
          </a:r>
        </a:p>
        <a:p>
          <a:r>
            <a:rPr lang="en-US"/>
            <a:t>L - F == 0 -43.52722    5.01806  -8.674    &lt;0.01 ***</a:t>
          </a:r>
        </a:p>
        <a:p>
          <a:r>
            <a:rPr lang="en-US"/>
            <a:t>H - G == 0  -1.50596    5.01806  -0.300   1.0000    </a:t>
          </a:r>
        </a:p>
        <a:p>
          <a:r>
            <a:rPr lang="en-US"/>
            <a:t>I - G == 0   0.56707    5.01806   0.113   1.0000    </a:t>
          </a:r>
        </a:p>
        <a:p>
          <a:r>
            <a:rPr lang="en-US"/>
            <a:t>J - G == 0 -29.26402    5.01806  -5.832    &lt;0.01 ***</a:t>
          </a:r>
        </a:p>
        <a:p>
          <a:r>
            <a:rPr lang="en-US"/>
            <a:t>K - G == 0 -30.23321    5.01806  -6.025    &lt;0.01 ***</a:t>
          </a:r>
        </a:p>
        <a:p>
          <a:r>
            <a:rPr lang="en-US"/>
            <a:t>L - G == 0 -27.75708    5.01806  -5.531    &lt;0.01 ***</a:t>
          </a:r>
        </a:p>
        <a:p>
          <a:r>
            <a:rPr lang="en-US"/>
            <a:t>I - H == 0   2.07303    5.01806   0.413   1.0000    </a:t>
          </a:r>
        </a:p>
        <a:p>
          <a:r>
            <a:rPr lang="en-US"/>
            <a:t>J - H == 0 -27.75806    5.01806  -5.532    &lt;0.01 ***</a:t>
          </a:r>
        </a:p>
        <a:p>
          <a:r>
            <a:rPr lang="en-US"/>
            <a:t>K - H == 0 -28.72725    5.01806  -5.725    &lt;0.01 ***</a:t>
          </a:r>
        </a:p>
        <a:p>
          <a:r>
            <a:rPr lang="en-US"/>
            <a:t>L - H == 0 -26.25112    5.01806  -5.231    &lt;0.01 ***</a:t>
          </a:r>
        </a:p>
        <a:p>
          <a:r>
            <a:rPr lang="en-US"/>
            <a:t>J - I == 0 -29.83109    5.01806  -5.945    &lt;0.01 ***</a:t>
          </a:r>
        </a:p>
        <a:p>
          <a:r>
            <a:rPr lang="en-US"/>
            <a:t>K - I == 0 -30.80028    5.01806  -6.138    &lt;0.01 ***</a:t>
          </a:r>
        </a:p>
        <a:p>
          <a:r>
            <a:rPr lang="en-US"/>
            <a:t>L - I == 0 -28.32415    5.01806  -5.644    &lt;0.01 ***</a:t>
          </a:r>
        </a:p>
        <a:p>
          <a:r>
            <a:rPr lang="en-US"/>
            <a:t>K - J == 0  -0.96919    5.01806  -0.193   1.0000    </a:t>
          </a:r>
        </a:p>
        <a:p>
          <a:r>
            <a:rPr lang="en-US"/>
            <a:t>L - J == 0   1.50694    5.01806   0.300   1.0000    </a:t>
          </a:r>
        </a:p>
        <a:p>
          <a:r>
            <a:rPr lang="en-US"/>
            <a:t>L - K == 0   2.47613    5.01806   0.493   1.0000    </a:t>
          </a:r>
        </a:p>
        <a:p>
          <a:r>
            <a:rPr lang="en-US"/>
            <a:t>---</a:t>
          </a:r>
        </a:p>
        <a:p>
          <a:r>
            <a:rPr lang="en-US"/>
            <a:t>Signif. codes:  0 ‘***’ 0.001 ‘**’ 0.01 ‘*’ 0.05 ‘.’ 0.1 ‘ ’ 1</a:t>
          </a:r>
        </a:p>
        <a:p>
          <a:r>
            <a:rPr lang="en-US"/>
            <a:t>(Adjusted p values reported -- single-step method)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901FB-F492-455E-A430-95711270FD59}">
  <dimension ref="A1:HR158"/>
  <sheetViews>
    <sheetView topLeftCell="C1" workbookViewId="0">
      <selection activeCell="Q1" sqref="Q1"/>
    </sheetView>
  </sheetViews>
  <sheetFormatPr baseColWidth="10" defaultColWidth="11.5" defaultRowHeight="15" x14ac:dyDescent="0.2"/>
  <cols>
    <col min="7" max="7" width="11.5" style="1"/>
    <col min="14" max="14" width="11.5" style="1"/>
    <col min="21" max="21" width="11.5" style="1"/>
    <col min="28" max="28" width="11.5" style="1"/>
    <col min="35" max="35" width="11.5" style="1"/>
    <col min="40" max="40" width="11.5" style="1"/>
    <col min="42" max="42" width="11.5" style="1"/>
  </cols>
  <sheetData>
    <row r="1" spans="1:47" x14ac:dyDescent="0.2">
      <c r="A1" t="s">
        <v>0</v>
      </c>
      <c r="C1" t="s">
        <v>484</v>
      </c>
      <c r="H1" t="s">
        <v>39</v>
      </c>
      <c r="J1" t="s">
        <v>390</v>
      </c>
      <c r="O1" t="s">
        <v>43</v>
      </c>
      <c r="Q1" t="s">
        <v>391</v>
      </c>
      <c r="V1" t="s">
        <v>47</v>
      </c>
      <c r="X1" t="s">
        <v>391</v>
      </c>
      <c r="AC1" t="s">
        <v>55</v>
      </c>
      <c r="AE1" t="s">
        <v>391</v>
      </c>
      <c r="AJ1" t="s">
        <v>54</v>
      </c>
      <c r="AL1" t="s">
        <v>391</v>
      </c>
      <c r="AN1"/>
      <c r="AQ1" t="s">
        <v>56</v>
      </c>
      <c r="AS1" t="s">
        <v>391</v>
      </c>
    </row>
    <row r="2" spans="1:47" x14ac:dyDescent="0.2">
      <c r="A2" t="s">
        <v>61</v>
      </c>
      <c r="B2" t="s">
        <v>1</v>
      </c>
      <c r="C2" t="s">
        <v>31</v>
      </c>
      <c r="D2" t="s">
        <v>4</v>
      </c>
      <c r="E2" t="s">
        <v>95</v>
      </c>
      <c r="H2" t="s">
        <v>61</v>
      </c>
      <c r="I2" t="s">
        <v>1</v>
      </c>
      <c r="J2" t="s">
        <v>31</v>
      </c>
      <c r="K2" t="s">
        <v>4</v>
      </c>
      <c r="L2" t="s">
        <v>95</v>
      </c>
      <c r="O2" t="s">
        <v>61</v>
      </c>
      <c r="P2" t="s">
        <v>1</v>
      </c>
      <c r="Q2" t="s">
        <v>2</v>
      </c>
      <c r="R2" t="s">
        <v>4</v>
      </c>
      <c r="S2" t="s">
        <v>95</v>
      </c>
      <c r="V2" t="s">
        <v>61</v>
      </c>
      <c r="W2" t="s">
        <v>1</v>
      </c>
      <c r="X2" t="s">
        <v>2</v>
      </c>
      <c r="Y2" t="s">
        <v>4</v>
      </c>
      <c r="Z2" t="s">
        <v>95</v>
      </c>
      <c r="AC2" t="s">
        <v>61</v>
      </c>
      <c r="AD2" t="s">
        <v>1</v>
      </c>
      <c r="AE2" t="s">
        <v>2</v>
      </c>
      <c r="AF2" t="s">
        <v>4</v>
      </c>
      <c r="AG2" t="s">
        <v>95</v>
      </c>
      <c r="AJ2" t="s">
        <v>61</v>
      </c>
      <c r="AK2" t="s">
        <v>1</v>
      </c>
      <c r="AL2" t="s">
        <v>2</v>
      </c>
      <c r="AM2" t="s">
        <v>4</v>
      </c>
      <c r="AN2" t="s">
        <v>95</v>
      </c>
      <c r="AQ2" t="s">
        <v>61</v>
      </c>
      <c r="AR2" t="s">
        <v>1</v>
      </c>
      <c r="AS2" t="s">
        <v>2</v>
      </c>
      <c r="AT2" t="s">
        <v>4</v>
      </c>
      <c r="AU2" t="s">
        <v>95</v>
      </c>
    </row>
    <row r="3" spans="1:47" ht="16" x14ac:dyDescent="0.25">
      <c r="A3" t="s">
        <v>32</v>
      </c>
      <c r="B3">
        <v>1</v>
      </c>
      <c r="C3">
        <v>61.111111111111107</v>
      </c>
      <c r="D3">
        <f>AVERAGE(C3:C14)</f>
        <v>66.287189112940794</v>
      </c>
      <c r="E3" s="4">
        <f>STDEV(C3:C14) /SQRT(COUNT(C3:C14))</f>
        <v>2.0599524522114541</v>
      </c>
      <c r="H3" t="s">
        <v>32</v>
      </c>
      <c r="I3">
        <v>1</v>
      </c>
      <c r="J3">
        <v>53.787878787878789</v>
      </c>
      <c r="K3">
        <f>AVERAGE(J3:J14)</f>
        <v>57.910061387208337</v>
      </c>
      <c r="L3" s="4">
        <f>STDEV(J3:J14) /SQRT(COUNT(J3:J14))</f>
        <v>3.9097145886629052</v>
      </c>
      <c r="O3" t="s">
        <v>32</v>
      </c>
      <c r="P3">
        <v>1</v>
      </c>
      <c r="Q3">
        <v>66.92307692307692</v>
      </c>
      <c r="R3">
        <f>AVERAGE(Q3:Q14)</f>
        <v>63.658836286593434</v>
      </c>
      <c r="S3" s="4">
        <f>STDEV(Q3:Q14) /SQRT(COUNT(Q3:Q14))</f>
        <v>3.5828031866945733</v>
      </c>
      <c r="V3" t="s">
        <v>32</v>
      </c>
      <c r="W3">
        <v>1</v>
      </c>
      <c r="X3">
        <v>48.998459167950692</v>
      </c>
      <c r="Y3">
        <f>AVERAGE(X3:X14)</f>
        <v>52.115715285220553</v>
      </c>
      <c r="Z3" s="4">
        <f>STDEV(X3:X14) /SQRT(COUNT(X3:X14))</f>
        <v>5.673099586209168</v>
      </c>
      <c r="AC3" t="s">
        <v>432</v>
      </c>
      <c r="AD3">
        <v>1</v>
      </c>
      <c r="AE3">
        <v>64.830508474576277</v>
      </c>
      <c r="AF3">
        <f>AVERAGE(AE3:AE14)</f>
        <v>60.056234359985901</v>
      </c>
      <c r="AG3" s="4">
        <f>STDEV(AE3:AE14) /SQRT(COUNT(AE3:AE14))</f>
        <v>3.0439335229937643</v>
      </c>
      <c r="AJ3" t="s">
        <v>32</v>
      </c>
      <c r="AK3">
        <v>1</v>
      </c>
      <c r="AL3">
        <v>63.814616755793224</v>
      </c>
      <c r="AM3">
        <f>AVERAGE(AL3:AL14)</f>
        <v>53.394970021487751</v>
      </c>
      <c r="AN3" s="4">
        <f>STDEV(AL3:AL14) /SQRT(COUNT(AL3:AL14))</f>
        <v>4.0564714144610772</v>
      </c>
      <c r="AQ3" t="s">
        <v>32</v>
      </c>
      <c r="AR3">
        <v>1</v>
      </c>
      <c r="AS3">
        <v>51.428571428571431</v>
      </c>
      <c r="AT3">
        <f>AVERAGE(AS3:AS14)</f>
        <v>51.693467799605912</v>
      </c>
      <c r="AU3" s="4">
        <f>STDEV(AS3:AS14) /SQRT(COUNT(AS3:AS14))</f>
        <v>3.7735057656708229</v>
      </c>
    </row>
    <row r="4" spans="1:47" x14ac:dyDescent="0.2">
      <c r="B4">
        <v>2</v>
      </c>
      <c r="C4">
        <v>66.569767441860463</v>
      </c>
      <c r="I4">
        <v>2</v>
      </c>
      <c r="J4">
        <v>63.058312655086844</v>
      </c>
      <c r="P4">
        <v>2</v>
      </c>
      <c r="Q4">
        <v>50.52439580483356</v>
      </c>
      <c r="W4">
        <v>2</v>
      </c>
      <c r="X4">
        <v>11.061061061061062</v>
      </c>
      <c r="AD4">
        <v>2</v>
      </c>
      <c r="AE4">
        <v>63.014092608570607</v>
      </c>
      <c r="AK4">
        <v>2</v>
      </c>
      <c r="AL4">
        <v>48.573975044563284</v>
      </c>
      <c r="AN4"/>
      <c r="AQ4" t="s">
        <v>57</v>
      </c>
      <c r="AR4">
        <v>2</v>
      </c>
      <c r="AS4">
        <v>66.666666666666671</v>
      </c>
    </row>
    <row r="5" spans="1:47" x14ac:dyDescent="0.2">
      <c r="B5">
        <v>3</v>
      </c>
      <c r="C5">
        <v>72.200772200772207</v>
      </c>
      <c r="I5">
        <v>3</v>
      </c>
      <c r="J5">
        <v>69.981325863678805</v>
      </c>
      <c r="P5">
        <v>3</v>
      </c>
      <c r="Q5">
        <v>70</v>
      </c>
      <c r="W5">
        <v>3</v>
      </c>
      <c r="X5">
        <v>39.933259176863181</v>
      </c>
      <c r="AD5">
        <v>3</v>
      </c>
      <c r="AE5">
        <v>52.083333333333329</v>
      </c>
      <c r="AK5">
        <v>3</v>
      </c>
      <c r="AL5">
        <v>18.352272727272727</v>
      </c>
      <c r="AN5"/>
      <c r="AR5">
        <v>3</v>
      </c>
      <c r="AS5">
        <v>34.503901895206241</v>
      </c>
    </row>
    <row r="6" spans="1:47" x14ac:dyDescent="0.2">
      <c r="B6">
        <v>4</v>
      </c>
      <c r="C6">
        <v>69.379844961240309</v>
      </c>
      <c r="I6">
        <v>4</v>
      </c>
      <c r="J6">
        <v>22.72306267366471</v>
      </c>
      <c r="P6">
        <v>4</v>
      </c>
      <c r="Q6">
        <v>55.392156862745097</v>
      </c>
      <c r="W6">
        <v>4</v>
      </c>
      <c r="X6">
        <v>44.571428571428569</v>
      </c>
      <c r="AD6">
        <v>4</v>
      </c>
      <c r="AE6">
        <v>52.914438502673789</v>
      </c>
      <c r="AK6">
        <v>4</v>
      </c>
      <c r="AL6">
        <v>48.414634146341463</v>
      </c>
      <c r="AN6"/>
      <c r="AR6">
        <v>4</v>
      </c>
      <c r="AS6">
        <v>41.666666666666671</v>
      </c>
    </row>
    <row r="7" spans="1:47" x14ac:dyDescent="0.2">
      <c r="B7">
        <v>5</v>
      </c>
      <c r="C7">
        <v>61.706102117061022</v>
      </c>
      <c r="I7">
        <v>5</v>
      </c>
      <c r="J7">
        <v>50.627240143369178</v>
      </c>
      <c r="P7">
        <v>5</v>
      </c>
      <c r="Q7">
        <v>72.72727272727272</v>
      </c>
      <c r="W7">
        <v>5</v>
      </c>
      <c r="X7">
        <v>51.428571428571431</v>
      </c>
      <c r="AD7">
        <v>5</v>
      </c>
      <c r="AE7">
        <v>55.217912834866056</v>
      </c>
      <c r="AK7">
        <v>5</v>
      </c>
      <c r="AL7">
        <v>66.070686070686065</v>
      </c>
      <c r="AN7"/>
      <c r="AR7">
        <v>5</v>
      </c>
      <c r="AS7">
        <v>71.568627450980387</v>
      </c>
    </row>
    <row r="8" spans="1:47" x14ac:dyDescent="0.2">
      <c r="B8">
        <v>6</v>
      </c>
      <c r="C8">
        <v>64.337568058076229</v>
      </c>
      <c r="I8">
        <v>6</v>
      </c>
      <c r="J8">
        <v>54.470588235294116</v>
      </c>
      <c r="P8">
        <v>6</v>
      </c>
      <c r="Q8">
        <v>65.311004784689004</v>
      </c>
      <c r="W8">
        <v>6</v>
      </c>
      <c r="X8">
        <v>29.384615384615387</v>
      </c>
      <c r="AD8">
        <v>6</v>
      </c>
      <c r="AE8">
        <v>76.122931442080372</v>
      </c>
      <c r="AK8">
        <v>6</v>
      </c>
      <c r="AL8">
        <v>59.829721362229101</v>
      </c>
      <c r="AN8"/>
      <c r="AR8">
        <v>6</v>
      </c>
      <c r="AS8">
        <v>43.181818181818187</v>
      </c>
    </row>
    <row r="9" spans="1:47" x14ac:dyDescent="0.2">
      <c r="B9">
        <v>7</v>
      </c>
      <c r="C9">
        <v>70.277777777777786</v>
      </c>
      <c r="I9">
        <v>7</v>
      </c>
      <c r="J9">
        <v>55.952380952380949</v>
      </c>
      <c r="P9">
        <v>7</v>
      </c>
      <c r="Q9">
        <v>31.167337550316272</v>
      </c>
      <c r="W9">
        <v>7</v>
      </c>
      <c r="X9">
        <v>60.19047619047619</v>
      </c>
      <c r="AD9">
        <v>7</v>
      </c>
      <c r="AE9">
        <v>59.398496240601503</v>
      </c>
      <c r="AK9">
        <v>7</v>
      </c>
      <c r="AL9">
        <v>48.817696414950419</v>
      </c>
      <c r="AN9"/>
      <c r="AR9">
        <v>7</v>
      </c>
      <c r="AS9">
        <v>70.329670329670336</v>
      </c>
    </row>
    <row r="10" spans="1:47" x14ac:dyDescent="0.2">
      <c r="B10">
        <v>8</v>
      </c>
      <c r="C10">
        <v>68.048533872598583</v>
      </c>
      <c r="I10">
        <v>8</v>
      </c>
      <c r="J10">
        <v>66.620752984389355</v>
      </c>
      <c r="P10">
        <v>8</v>
      </c>
      <c r="Q10">
        <v>73.818181818181813</v>
      </c>
      <c r="W10">
        <v>8</v>
      </c>
      <c r="X10">
        <v>81.25</v>
      </c>
      <c r="AD10">
        <v>8</v>
      </c>
      <c r="AE10">
        <v>47.832512315270932</v>
      </c>
      <c r="AK10">
        <v>8</v>
      </c>
      <c r="AL10">
        <v>76.020408163265301</v>
      </c>
      <c r="AN10"/>
      <c r="AR10">
        <v>8</v>
      </c>
      <c r="AS10">
        <v>43.356643356643353</v>
      </c>
    </row>
    <row r="11" spans="1:47" x14ac:dyDescent="0.2">
      <c r="B11">
        <v>9</v>
      </c>
      <c r="C11">
        <v>73.214285714285722</v>
      </c>
      <c r="I11">
        <v>9</v>
      </c>
      <c r="J11">
        <v>55.248213958600473</v>
      </c>
      <c r="P11">
        <v>9</v>
      </c>
      <c r="Q11">
        <v>66.666666666666657</v>
      </c>
      <c r="W11">
        <v>9</v>
      </c>
      <c r="X11">
        <v>63.87096774193548</v>
      </c>
      <c r="AD11">
        <v>9</v>
      </c>
      <c r="AE11">
        <v>75.875055383252118</v>
      </c>
      <c r="AK11">
        <v>9</v>
      </c>
      <c r="AL11">
        <v>48.151898734177216</v>
      </c>
      <c r="AN11"/>
      <c r="AR11">
        <v>9</v>
      </c>
      <c r="AS11">
        <v>61.111111111111114</v>
      </c>
    </row>
    <row r="12" spans="1:47" x14ac:dyDescent="0.2">
      <c r="B12">
        <v>10</v>
      </c>
      <c r="C12">
        <v>47.747747747747752</v>
      </c>
      <c r="I12">
        <v>10</v>
      </c>
      <c r="J12">
        <v>60.784313725490193</v>
      </c>
      <c r="P12">
        <v>10</v>
      </c>
      <c r="Q12">
        <v>73.147468818782102</v>
      </c>
      <c r="W12">
        <v>10</v>
      </c>
      <c r="X12">
        <v>71.428571428571431</v>
      </c>
      <c r="AD12">
        <v>10</v>
      </c>
      <c r="AE12">
        <v>69.505494505494511</v>
      </c>
      <c r="AK12">
        <v>10</v>
      </c>
      <c r="AL12">
        <v>56.00222562247879</v>
      </c>
      <c r="AN12"/>
      <c r="AR12">
        <v>10</v>
      </c>
      <c r="AS12">
        <v>36.507936507936506</v>
      </c>
    </row>
    <row r="13" spans="1:47" x14ac:dyDescent="0.2">
      <c r="B13">
        <v>11</v>
      </c>
      <c r="C13">
        <v>73.504273504273499</v>
      </c>
      <c r="I13">
        <v>11</v>
      </c>
      <c r="J13">
        <v>63.888888888888886</v>
      </c>
      <c r="P13">
        <v>11</v>
      </c>
      <c r="Q13">
        <v>68.784029038112521</v>
      </c>
      <c r="W13">
        <v>11</v>
      </c>
      <c r="X13">
        <v>72.222222222222229</v>
      </c>
      <c r="AD13">
        <v>11</v>
      </c>
      <c r="AE13">
        <v>61.274509803921575</v>
      </c>
      <c r="AK13">
        <v>11</v>
      </c>
      <c r="AL13">
        <v>56.36363636363636</v>
      </c>
      <c r="AN13"/>
      <c r="AR13">
        <v>11</v>
      </c>
      <c r="AS13">
        <v>45</v>
      </c>
    </row>
    <row r="14" spans="1:47" x14ac:dyDescent="0.2">
      <c r="B14">
        <v>12</v>
      </c>
      <c r="C14">
        <v>67.348484848484844</v>
      </c>
      <c r="I14">
        <v>12</v>
      </c>
      <c r="J14">
        <v>77.777777777777771</v>
      </c>
      <c r="P14">
        <v>12</v>
      </c>
      <c r="Q14">
        <v>69.444444444444457</v>
      </c>
      <c r="W14">
        <v>12</v>
      </c>
      <c r="X14">
        <v>51.048951048951047</v>
      </c>
      <c r="AD14">
        <v>12</v>
      </c>
      <c r="AE14">
        <v>42.605526875189796</v>
      </c>
      <c r="AK14">
        <v>12</v>
      </c>
      <c r="AL14">
        <v>50.327868852459019</v>
      </c>
      <c r="AN14"/>
      <c r="AR14">
        <v>12</v>
      </c>
      <c r="AS14">
        <v>55</v>
      </c>
    </row>
    <row r="15" spans="1:47" x14ac:dyDescent="0.2">
      <c r="AN15"/>
    </row>
    <row r="16" spans="1:47" x14ac:dyDescent="0.2">
      <c r="A16" t="s">
        <v>3</v>
      </c>
      <c r="B16" t="s">
        <v>1</v>
      </c>
      <c r="C16" t="s">
        <v>31</v>
      </c>
      <c r="D16" t="s">
        <v>8</v>
      </c>
      <c r="E16" t="s">
        <v>95</v>
      </c>
      <c r="H16" t="s">
        <v>3</v>
      </c>
      <c r="I16" t="s">
        <v>1</v>
      </c>
      <c r="J16" t="s">
        <v>31</v>
      </c>
      <c r="K16" t="s">
        <v>8</v>
      </c>
      <c r="L16" t="s">
        <v>95</v>
      </c>
      <c r="O16" t="s">
        <v>3</v>
      </c>
      <c r="P16" t="s">
        <v>1</v>
      </c>
      <c r="Q16" t="s">
        <v>2</v>
      </c>
      <c r="R16" t="s">
        <v>4</v>
      </c>
      <c r="S16" t="s">
        <v>95</v>
      </c>
      <c r="V16" t="s">
        <v>3</v>
      </c>
      <c r="W16" t="s">
        <v>1</v>
      </c>
      <c r="X16" t="s">
        <v>2</v>
      </c>
      <c r="Y16" t="s">
        <v>4</v>
      </c>
      <c r="Z16" t="s">
        <v>95</v>
      </c>
      <c r="AC16" t="s">
        <v>3</v>
      </c>
      <c r="AD16" t="s">
        <v>1</v>
      </c>
      <c r="AE16" t="s">
        <v>2</v>
      </c>
      <c r="AF16" t="s">
        <v>4</v>
      </c>
      <c r="AG16" t="s">
        <v>95</v>
      </c>
      <c r="AJ16" t="s">
        <v>3</v>
      </c>
      <c r="AK16" t="s">
        <v>1</v>
      </c>
      <c r="AL16" t="s">
        <v>2</v>
      </c>
      <c r="AM16" t="s">
        <v>4</v>
      </c>
      <c r="AN16" t="s">
        <v>95</v>
      </c>
      <c r="AQ16" t="s">
        <v>3</v>
      </c>
      <c r="AR16" t="s">
        <v>1</v>
      </c>
      <c r="AS16" t="s">
        <v>2</v>
      </c>
      <c r="AT16" t="s">
        <v>4</v>
      </c>
      <c r="AU16" t="s">
        <v>95</v>
      </c>
    </row>
    <row r="17" spans="1:47" ht="16" x14ac:dyDescent="0.25">
      <c r="A17" t="s">
        <v>33</v>
      </c>
      <c r="B17">
        <v>1</v>
      </c>
      <c r="C17">
        <v>55</v>
      </c>
      <c r="D17">
        <f>AVERAGE(C17:C28)</f>
        <v>72.835192371440158</v>
      </c>
      <c r="E17" s="4">
        <f>STDEV(C17:C28) /SQRT(COUNT(C17:C28))</f>
        <v>2.0855530443030195</v>
      </c>
      <c r="H17" t="s">
        <v>33</v>
      </c>
      <c r="I17">
        <v>1</v>
      </c>
      <c r="J17">
        <v>74.848484848484844</v>
      </c>
      <c r="K17">
        <f>AVERAGE(J17:J28)</f>
        <v>69.544710551488819</v>
      </c>
      <c r="L17" s="4">
        <f>STDEV(J17:J28) /SQRT(COUNT(J17:J28))</f>
        <v>5.4501163073429506</v>
      </c>
      <c r="O17" t="s">
        <v>48</v>
      </c>
      <c r="P17">
        <v>1</v>
      </c>
      <c r="Q17">
        <v>57.494722026741726</v>
      </c>
      <c r="R17">
        <f>AVERAGE(Q17:Q28)</f>
        <v>50.516567342696256</v>
      </c>
      <c r="S17" s="4">
        <f>STDEV(Q17:Q28) /SQRT(COUNT(Q17:Q28))</f>
        <v>3.8575041930161715</v>
      </c>
      <c r="V17" t="s">
        <v>48</v>
      </c>
      <c r="W17">
        <v>1</v>
      </c>
      <c r="X17">
        <v>63.675213675213676</v>
      </c>
      <c r="Y17">
        <f>AVERAGE(X17:X28)</f>
        <v>57.125831651674552</v>
      </c>
      <c r="Z17" s="4">
        <f>STDEV(X17:X28) /SQRT(COUNT(X17:X28))</f>
        <v>4.4738752613850448</v>
      </c>
      <c r="AC17" t="s">
        <v>48</v>
      </c>
      <c r="AD17">
        <v>1</v>
      </c>
      <c r="AE17">
        <v>80.512956107879432</v>
      </c>
      <c r="AF17">
        <f>AVERAGE(AE17:AE28)</f>
        <v>65.594569713634769</v>
      </c>
      <c r="AG17" s="4">
        <f>STDEV(AE17:AE28) /SQRT(COUNT(AE17:AE28))</f>
        <v>4.1229855419714267</v>
      </c>
      <c r="AJ17" t="s">
        <v>48</v>
      </c>
      <c r="AK17">
        <v>1</v>
      </c>
      <c r="AL17">
        <v>53.732446415373239</v>
      </c>
      <c r="AM17">
        <f>AVERAGE(AL17:AL28)</f>
        <v>45.601646591733505</v>
      </c>
      <c r="AN17" s="4">
        <f>STDEV(AL17:AL28) /SQRT(COUNT(AL17:AL28))</f>
        <v>1.3675606308733068</v>
      </c>
      <c r="AQ17" t="s">
        <v>58</v>
      </c>
      <c r="AR17">
        <v>1</v>
      </c>
      <c r="AS17">
        <v>39.562289562289564</v>
      </c>
      <c r="AT17">
        <f>AVERAGE(AS17:AS28)</f>
        <v>47.918929070898081</v>
      </c>
      <c r="AU17" s="4">
        <f>STDEV(AS17:AS28) /SQRT(COUNT(AS17:AS28))</f>
        <v>4.7444670158810309</v>
      </c>
    </row>
    <row r="18" spans="1:47" x14ac:dyDescent="0.2">
      <c r="B18">
        <v>2</v>
      </c>
      <c r="C18">
        <v>72.758620689655174</v>
      </c>
      <c r="I18">
        <v>2</v>
      </c>
      <c r="J18">
        <v>57.181110029211297</v>
      </c>
      <c r="P18">
        <v>2</v>
      </c>
      <c r="Q18">
        <v>28.936170212765958</v>
      </c>
      <c r="W18">
        <v>2</v>
      </c>
      <c r="X18">
        <v>35.977564102564102</v>
      </c>
      <c r="AD18">
        <v>2</v>
      </c>
      <c r="AE18">
        <v>54.989919354838712</v>
      </c>
      <c r="AK18">
        <v>2</v>
      </c>
      <c r="AL18">
        <v>41.636363636363633</v>
      </c>
      <c r="AN18"/>
      <c r="AQ18" t="s">
        <v>57</v>
      </c>
      <c r="AR18">
        <v>2</v>
      </c>
      <c r="AS18">
        <v>55.392156862745097</v>
      </c>
    </row>
    <row r="19" spans="1:47" x14ac:dyDescent="0.2">
      <c r="B19">
        <v>3</v>
      </c>
      <c r="C19">
        <v>75</v>
      </c>
      <c r="I19">
        <v>3</v>
      </c>
      <c r="J19">
        <v>63.22686322686323</v>
      </c>
      <c r="P19">
        <v>3</v>
      </c>
      <c r="Q19">
        <v>39.904610492845791</v>
      </c>
      <c r="W19">
        <v>3</v>
      </c>
      <c r="X19">
        <v>69.318181818181813</v>
      </c>
      <c r="AD19">
        <v>3</v>
      </c>
      <c r="AE19">
        <v>72.011529126213588</v>
      </c>
      <c r="AK19">
        <v>3</v>
      </c>
      <c r="AL19">
        <v>39.244186046511629</v>
      </c>
      <c r="AN19"/>
      <c r="AR19">
        <v>3</v>
      </c>
      <c r="AS19">
        <v>27.611940298507463</v>
      </c>
    </row>
    <row r="20" spans="1:47" x14ac:dyDescent="0.2">
      <c r="B20">
        <v>4</v>
      </c>
      <c r="C20">
        <v>64.21052631578948</v>
      </c>
      <c r="I20">
        <v>4</v>
      </c>
      <c r="J20">
        <v>63.589743589743591</v>
      </c>
      <c r="P20">
        <v>4</v>
      </c>
      <c r="Q20">
        <v>54.858934169278996</v>
      </c>
      <c r="W20">
        <v>4</v>
      </c>
      <c r="X20">
        <v>30.20979020979021</v>
      </c>
      <c r="AD20">
        <v>4</v>
      </c>
      <c r="AE20">
        <v>60.939081157660397</v>
      </c>
      <c r="AK20">
        <v>4</v>
      </c>
      <c r="AL20">
        <v>45.977011494252878</v>
      </c>
      <c r="AN20"/>
      <c r="AR20">
        <v>4</v>
      </c>
      <c r="AS20">
        <v>41.602564102564102</v>
      </c>
    </row>
    <row r="21" spans="1:47" x14ac:dyDescent="0.2">
      <c r="B21">
        <v>5</v>
      </c>
      <c r="C21">
        <v>73.913043478260875</v>
      </c>
      <c r="I21">
        <v>5</v>
      </c>
      <c r="J21">
        <v>85.245901639344254</v>
      </c>
      <c r="P21">
        <v>5</v>
      </c>
      <c r="Q21">
        <v>60.935143288084461</v>
      </c>
      <c r="W21">
        <v>5</v>
      </c>
      <c r="X21">
        <v>43.80952380952381</v>
      </c>
      <c r="AD21">
        <v>5</v>
      </c>
      <c r="AE21">
        <v>82.417257683215126</v>
      </c>
      <c r="AK21">
        <v>5</v>
      </c>
      <c r="AL21">
        <v>49.614791987673343</v>
      </c>
      <c r="AN21"/>
      <c r="AR21">
        <v>5</v>
      </c>
      <c r="AS21">
        <v>23.636363636363637</v>
      </c>
    </row>
    <row r="22" spans="1:47" x14ac:dyDescent="0.2">
      <c r="B22">
        <v>6</v>
      </c>
      <c r="C22">
        <v>73.863636363636374</v>
      </c>
      <c r="I22">
        <v>6</v>
      </c>
      <c r="J22">
        <v>78.728508596561369</v>
      </c>
      <c r="P22">
        <v>6</v>
      </c>
      <c r="Q22">
        <v>49.471458773784356</v>
      </c>
      <c r="W22">
        <v>6</v>
      </c>
      <c r="X22">
        <v>58.94736842105263</v>
      </c>
      <c r="AD22">
        <v>6</v>
      </c>
      <c r="AE22">
        <v>47.026486756621686</v>
      </c>
      <c r="AK22">
        <v>6</v>
      </c>
      <c r="AL22">
        <v>42.79661016949153</v>
      </c>
      <c r="AN22"/>
      <c r="AR22">
        <v>6</v>
      </c>
      <c r="AS22">
        <v>66.287878787878782</v>
      </c>
    </row>
    <row r="23" spans="1:47" x14ac:dyDescent="0.2">
      <c r="B23">
        <v>7</v>
      </c>
      <c r="C23">
        <v>81.198436821537129</v>
      </c>
      <c r="I23">
        <v>7</v>
      </c>
      <c r="J23">
        <v>87.036692121437881</v>
      </c>
      <c r="P23">
        <v>7</v>
      </c>
      <c r="Q23">
        <v>53.11355311355311</v>
      </c>
      <c r="W23">
        <v>7</v>
      </c>
      <c r="X23">
        <v>49.431818181818187</v>
      </c>
      <c r="AD23">
        <v>7</v>
      </c>
      <c r="AE23">
        <v>83.654558932542628</v>
      </c>
      <c r="AK23">
        <v>7</v>
      </c>
      <c r="AL23">
        <v>48.229665071770341</v>
      </c>
      <c r="AN23"/>
      <c r="AR23">
        <v>7</v>
      </c>
      <c r="AS23">
        <v>58</v>
      </c>
    </row>
    <row r="24" spans="1:47" x14ac:dyDescent="0.2">
      <c r="B24">
        <v>8</v>
      </c>
      <c r="C24">
        <v>71.805006587615281</v>
      </c>
      <c r="I24">
        <v>8</v>
      </c>
      <c r="J24">
        <v>21.198830409356727</v>
      </c>
      <c r="P24">
        <v>8</v>
      </c>
      <c r="Q24">
        <v>40.126050420168063</v>
      </c>
      <c r="W24">
        <v>8</v>
      </c>
      <c r="X24">
        <v>69.548387096774192</v>
      </c>
      <c r="AD24">
        <v>8</v>
      </c>
      <c r="AE24">
        <v>52.200357781753127</v>
      </c>
      <c r="AK24">
        <v>8</v>
      </c>
      <c r="AL24">
        <v>41.83098591549296</v>
      </c>
      <c r="AN24"/>
      <c r="AR24">
        <v>8</v>
      </c>
      <c r="AS24">
        <v>60</v>
      </c>
    </row>
    <row r="25" spans="1:47" x14ac:dyDescent="0.2">
      <c r="B25">
        <v>9</v>
      </c>
      <c r="C25">
        <v>79.464285714285722</v>
      </c>
      <c r="I25">
        <v>9</v>
      </c>
      <c r="J25">
        <v>60.980392156862749</v>
      </c>
      <c r="P25">
        <v>9</v>
      </c>
      <c r="Q25">
        <v>34.494773519163765</v>
      </c>
      <c r="W25">
        <v>9</v>
      </c>
      <c r="X25">
        <v>60.54018445322793</v>
      </c>
      <c r="AD25">
        <v>9</v>
      </c>
      <c r="AE25">
        <v>72.395833333333329</v>
      </c>
      <c r="AK25">
        <v>9</v>
      </c>
      <c r="AL25">
        <v>46.197183098591552</v>
      </c>
      <c r="AN25"/>
      <c r="AR25">
        <v>9</v>
      </c>
      <c r="AS25">
        <v>59.595959595959599</v>
      </c>
    </row>
    <row r="26" spans="1:47" x14ac:dyDescent="0.2">
      <c r="B26">
        <v>10</v>
      </c>
      <c r="C26">
        <v>73.235294117647058</v>
      </c>
      <c r="I26">
        <v>10</v>
      </c>
      <c r="J26">
        <v>74.166666666666657</v>
      </c>
      <c r="P26">
        <v>10</v>
      </c>
      <c r="Q26">
        <v>76.086956521739125</v>
      </c>
      <c r="W26">
        <v>10</v>
      </c>
      <c r="X26">
        <v>73.142857142857139</v>
      </c>
      <c r="AD26">
        <v>10</v>
      </c>
      <c r="AE26">
        <v>68.116426898628305</v>
      </c>
      <c r="AK26">
        <v>10</v>
      </c>
      <c r="AL26">
        <v>48.701754385964911</v>
      </c>
      <c r="AN26"/>
      <c r="AR26">
        <v>10</v>
      </c>
      <c r="AS26">
        <v>34.70611755297881</v>
      </c>
    </row>
    <row r="27" spans="1:47" x14ac:dyDescent="0.2">
      <c r="B27">
        <v>11</v>
      </c>
      <c r="C27">
        <v>73.01790281329923</v>
      </c>
      <c r="I27">
        <v>11</v>
      </c>
      <c r="J27">
        <v>93.333333333333343</v>
      </c>
      <c r="P27">
        <v>11</v>
      </c>
      <c r="Q27">
        <v>47.142857142857146</v>
      </c>
      <c r="W27">
        <v>11</v>
      </c>
      <c r="X27">
        <v>80.909090909090907</v>
      </c>
      <c r="AD27">
        <v>11</v>
      </c>
      <c r="AE27">
        <v>40.74680641991484</v>
      </c>
      <c r="AK27">
        <v>11</v>
      </c>
      <c r="AL27">
        <v>50.439882697947212</v>
      </c>
      <c r="AN27"/>
      <c r="AR27">
        <v>11</v>
      </c>
      <c r="AS27">
        <v>33.994197292069629</v>
      </c>
    </row>
    <row r="28" spans="1:47" x14ac:dyDescent="0.2">
      <c r="B28">
        <v>12</v>
      </c>
      <c r="C28">
        <v>80.555555555555543</v>
      </c>
      <c r="I28">
        <v>12</v>
      </c>
      <c r="J28">
        <v>75</v>
      </c>
      <c r="P28">
        <v>12</v>
      </c>
      <c r="Q28">
        <v>63.633578431372548</v>
      </c>
      <c r="W28">
        <v>12</v>
      </c>
      <c r="X28">
        <v>50</v>
      </c>
      <c r="AD28">
        <v>12</v>
      </c>
      <c r="AE28">
        <v>72.123623011015923</v>
      </c>
      <c r="AK28">
        <v>12</v>
      </c>
      <c r="AL28">
        <v>38.818878181368916</v>
      </c>
      <c r="AN28"/>
      <c r="AR28">
        <v>12</v>
      </c>
      <c r="AS28">
        <v>74.637681159420282</v>
      </c>
    </row>
    <row r="29" spans="1:47" x14ac:dyDescent="0.2">
      <c r="AN29"/>
    </row>
    <row r="30" spans="1:47" x14ac:dyDescent="0.2">
      <c r="A30" t="s">
        <v>5</v>
      </c>
      <c r="B30" t="s">
        <v>1</v>
      </c>
      <c r="C30" t="s">
        <v>31</v>
      </c>
      <c r="D30" t="s">
        <v>8</v>
      </c>
      <c r="E30" t="s">
        <v>95</v>
      </c>
      <c r="H30" t="s">
        <v>5</v>
      </c>
      <c r="I30" t="s">
        <v>1</v>
      </c>
      <c r="J30" t="s">
        <v>31</v>
      </c>
      <c r="K30" t="s">
        <v>8</v>
      </c>
      <c r="L30" t="s">
        <v>95</v>
      </c>
      <c r="O30" t="s">
        <v>5</v>
      </c>
      <c r="P30" t="s">
        <v>1</v>
      </c>
      <c r="Q30" t="s">
        <v>2</v>
      </c>
      <c r="R30" t="s">
        <v>4</v>
      </c>
      <c r="S30" t="s">
        <v>95</v>
      </c>
      <c r="V30" t="s">
        <v>5</v>
      </c>
      <c r="W30" t="s">
        <v>1</v>
      </c>
      <c r="X30" t="s">
        <v>2</v>
      </c>
      <c r="Y30" t="s">
        <v>4</v>
      </c>
      <c r="Z30" t="s">
        <v>95</v>
      </c>
      <c r="AC30" t="s">
        <v>5</v>
      </c>
      <c r="AD30" t="s">
        <v>1</v>
      </c>
      <c r="AE30" t="s">
        <v>2</v>
      </c>
      <c r="AF30" t="s">
        <v>4</v>
      </c>
      <c r="AG30" t="s">
        <v>95</v>
      </c>
      <c r="AJ30" t="s">
        <v>5</v>
      </c>
      <c r="AK30" t="s">
        <v>1</v>
      </c>
      <c r="AL30" t="s">
        <v>2</v>
      </c>
      <c r="AM30" t="s">
        <v>4</v>
      </c>
      <c r="AN30" t="s">
        <v>95</v>
      </c>
      <c r="AQ30" t="s">
        <v>5</v>
      </c>
      <c r="AR30" t="s">
        <v>1</v>
      </c>
      <c r="AS30" t="s">
        <v>2</v>
      </c>
      <c r="AT30" t="s">
        <v>4</v>
      </c>
      <c r="AU30" t="s">
        <v>95</v>
      </c>
    </row>
    <row r="31" spans="1:47" ht="16" x14ac:dyDescent="0.25">
      <c r="A31" t="s">
        <v>34</v>
      </c>
      <c r="B31">
        <v>1</v>
      </c>
      <c r="C31">
        <v>-19.047619047619047</v>
      </c>
      <c r="D31">
        <f>AVERAGE(C31:C42)</f>
        <v>1.3221683273483034</v>
      </c>
      <c r="E31" s="4">
        <f>STDEV(C31:C42) /SQRT(COUNT(C31:C42))</f>
        <v>4.155224023189966</v>
      </c>
      <c r="H31" t="s">
        <v>34</v>
      </c>
      <c r="I31">
        <v>1</v>
      </c>
      <c r="J31">
        <v>42.5</v>
      </c>
      <c r="K31">
        <f>AVERAGE(J31:J42)</f>
        <v>35.387254693697152</v>
      </c>
      <c r="L31" s="4">
        <f>STDEV(J31:J42) /SQRT(COUNT(J31:J42))</f>
        <v>6.9011953372949675</v>
      </c>
      <c r="O31" t="s">
        <v>49</v>
      </c>
      <c r="P31">
        <v>1</v>
      </c>
      <c r="Q31">
        <v>74.21052631578948</v>
      </c>
      <c r="R31">
        <f>AVERAGE(Q31:Q42)</f>
        <v>62.102676905199985</v>
      </c>
      <c r="S31" s="4">
        <f>STDEV(Q31:Q42) /SQRT(COUNT(Q31:Q42))</f>
        <v>3.018574653860131</v>
      </c>
      <c r="V31" t="s">
        <v>49</v>
      </c>
      <c r="W31">
        <v>1</v>
      </c>
      <c r="X31">
        <v>34.821428571428569</v>
      </c>
      <c r="Y31">
        <f>AVERAGE(X31:X42)</f>
        <v>22.101094107302377</v>
      </c>
      <c r="Z31" s="4">
        <f>STDEV(X31:X42) /SQRT(COUNT(X31:X42))</f>
        <v>7.0167644475487609</v>
      </c>
      <c r="AC31" t="s">
        <v>53</v>
      </c>
      <c r="AD31">
        <v>1</v>
      </c>
      <c r="AE31">
        <v>85.220240262104113</v>
      </c>
      <c r="AF31">
        <f>AVERAGE(AE31:AE42)</f>
        <v>69.991010342221614</v>
      </c>
      <c r="AG31" s="4">
        <f>STDEV(AE31:AE42) /SQRT(COUNT(AE31:AE42))</f>
        <v>3.5792301585415438</v>
      </c>
      <c r="AJ31" t="s">
        <v>53</v>
      </c>
      <c r="AK31">
        <v>1</v>
      </c>
      <c r="AL31">
        <v>56.973995271867608</v>
      </c>
      <c r="AM31">
        <f>AVERAGE(AL31:AL42)</f>
        <v>50.929272397963778</v>
      </c>
      <c r="AN31" s="4">
        <f>STDEV(AL31:AL42) /SQRT(COUNT(AL31:AL42))</f>
        <v>2.4870713375652014</v>
      </c>
      <c r="AQ31" t="s">
        <v>59</v>
      </c>
      <c r="AR31">
        <v>1</v>
      </c>
      <c r="AS31">
        <v>25.490196078431374</v>
      </c>
      <c r="AT31">
        <f>AVERAGE(AS31:AS42)</f>
        <v>42.17951758146728</v>
      </c>
      <c r="AU31" s="4">
        <f>STDEV(AS31:AS42) /SQRT(COUNT(AS31:AS42))</f>
        <v>4.8056405454633584</v>
      </c>
    </row>
    <row r="32" spans="1:47" x14ac:dyDescent="0.2">
      <c r="B32">
        <v>2</v>
      </c>
      <c r="C32">
        <v>-2</v>
      </c>
      <c r="I32">
        <v>2</v>
      </c>
      <c r="J32">
        <v>32.8125</v>
      </c>
      <c r="P32">
        <v>2</v>
      </c>
      <c r="Q32">
        <v>56.422287390029325</v>
      </c>
      <c r="W32">
        <v>2</v>
      </c>
      <c r="X32">
        <v>12.162162162162161</v>
      </c>
      <c r="AD32">
        <v>2</v>
      </c>
      <c r="AE32">
        <v>77.739872068230284</v>
      </c>
      <c r="AK32">
        <v>2</v>
      </c>
      <c r="AL32">
        <v>43.333333333333336</v>
      </c>
      <c r="AN32"/>
      <c r="AQ32" t="s">
        <v>57</v>
      </c>
      <c r="AR32">
        <v>2</v>
      </c>
      <c r="AS32">
        <v>28.735632183908045</v>
      </c>
    </row>
    <row r="33" spans="1:47" x14ac:dyDescent="0.2">
      <c r="B33">
        <v>3</v>
      </c>
      <c r="C33">
        <v>3.1884057971014488</v>
      </c>
      <c r="I33">
        <v>3</v>
      </c>
      <c r="J33">
        <v>27.031785747382081</v>
      </c>
      <c r="P33">
        <v>3</v>
      </c>
      <c r="Q33">
        <v>49.275362318840578</v>
      </c>
      <c r="W33">
        <v>3</v>
      </c>
      <c r="X33">
        <v>14.035087719298247</v>
      </c>
      <c r="AD33">
        <v>3</v>
      </c>
      <c r="AE33">
        <v>65.727963953815831</v>
      </c>
      <c r="AK33">
        <v>3</v>
      </c>
      <c r="AL33">
        <v>31.674641148325357</v>
      </c>
      <c r="AN33"/>
      <c r="AR33">
        <v>3</v>
      </c>
      <c r="AS33">
        <v>50</v>
      </c>
    </row>
    <row r="34" spans="1:47" x14ac:dyDescent="0.2">
      <c r="B34">
        <v>4</v>
      </c>
      <c r="C34">
        <v>11.805555555555555</v>
      </c>
      <c r="I34">
        <v>4</v>
      </c>
      <c r="J34">
        <v>34.739229024943313</v>
      </c>
      <c r="P34">
        <v>4</v>
      </c>
      <c r="Q34">
        <v>51.485411140583551</v>
      </c>
      <c r="W34">
        <v>4</v>
      </c>
      <c r="X34">
        <v>30.438596491228068</v>
      </c>
      <c r="AD34">
        <v>4</v>
      </c>
      <c r="AE34">
        <v>78.907469342251943</v>
      </c>
      <c r="AK34">
        <v>4</v>
      </c>
      <c r="AL34">
        <v>55</v>
      </c>
      <c r="AN34"/>
      <c r="AR34">
        <v>4</v>
      </c>
      <c r="AS34">
        <v>53.17460317460317</v>
      </c>
    </row>
    <row r="35" spans="1:47" x14ac:dyDescent="0.2">
      <c r="B35">
        <v>5</v>
      </c>
      <c r="C35">
        <v>-19.679633867276888</v>
      </c>
      <c r="I35">
        <v>5</v>
      </c>
      <c r="J35">
        <v>-8.2082965578111207</v>
      </c>
      <c r="P35">
        <v>5</v>
      </c>
      <c r="Q35">
        <v>65.259740259740255</v>
      </c>
      <c r="W35">
        <v>5</v>
      </c>
      <c r="X35">
        <v>7.336956521739129</v>
      </c>
      <c r="AD35">
        <v>5</v>
      </c>
      <c r="AE35">
        <v>73.118279569892479</v>
      </c>
      <c r="AK35">
        <v>5</v>
      </c>
      <c r="AL35">
        <v>41.893780573025857</v>
      </c>
      <c r="AN35"/>
      <c r="AR35">
        <v>5</v>
      </c>
      <c r="AS35">
        <v>45</v>
      </c>
    </row>
    <row r="36" spans="1:47" x14ac:dyDescent="0.2">
      <c r="B36">
        <v>6</v>
      </c>
      <c r="C36">
        <v>-12.554112554112553</v>
      </c>
      <c r="I36">
        <v>6</v>
      </c>
      <c r="J36">
        <v>68.796296296296305</v>
      </c>
      <c r="P36">
        <v>6</v>
      </c>
      <c r="Q36">
        <v>82.857142857142861</v>
      </c>
      <c r="W36">
        <v>6</v>
      </c>
      <c r="X36">
        <v>-17.413793103448278</v>
      </c>
      <c r="AD36">
        <v>6</v>
      </c>
      <c r="AE36">
        <v>71.014492753623188</v>
      </c>
      <c r="AK36">
        <v>6</v>
      </c>
      <c r="AL36">
        <v>57.777777777777779</v>
      </c>
      <c r="AN36"/>
      <c r="AR36">
        <v>6</v>
      </c>
      <c r="AS36">
        <v>40</v>
      </c>
    </row>
    <row r="37" spans="1:47" x14ac:dyDescent="0.2">
      <c r="B37">
        <v>7</v>
      </c>
      <c r="C37">
        <v>9.9537037037037042</v>
      </c>
      <c r="I37">
        <v>7</v>
      </c>
      <c r="J37">
        <v>65.972222222222229</v>
      </c>
      <c r="P37">
        <v>7</v>
      </c>
      <c r="Q37">
        <v>55.551020408163268</v>
      </c>
      <c r="W37">
        <v>7</v>
      </c>
      <c r="X37">
        <v>29.45945945945946</v>
      </c>
      <c r="AD37">
        <v>7</v>
      </c>
      <c r="AE37">
        <v>47.256557129936688</v>
      </c>
      <c r="AK37">
        <v>7</v>
      </c>
      <c r="AL37">
        <v>55.444997236042013</v>
      </c>
      <c r="AN37"/>
      <c r="AR37">
        <v>7</v>
      </c>
      <c r="AS37">
        <v>18.75</v>
      </c>
    </row>
    <row r="38" spans="1:47" x14ac:dyDescent="0.2">
      <c r="B38">
        <v>8</v>
      </c>
      <c r="C38">
        <v>8.1343943412908928</v>
      </c>
      <c r="I38">
        <v>8</v>
      </c>
      <c r="J38">
        <v>-5.8604651162790695</v>
      </c>
      <c r="P38">
        <v>8</v>
      </c>
      <c r="Q38">
        <v>54.621848739495796</v>
      </c>
      <c r="W38">
        <v>8</v>
      </c>
      <c r="X38">
        <v>-20.833333333333332</v>
      </c>
      <c r="AD38">
        <v>8</v>
      </c>
      <c r="AE38">
        <v>85.210755813953483</v>
      </c>
      <c r="AK38">
        <v>8</v>
      </c>
      <c r="AL38">
        <v>55.212355212355206</v>
      </c>
      <c r="AN38"/>
      <c r="AR38">
        <v>8</v>
      </c>
      <c r="AS38">
        <v>59.074074074074076</v>
      </c>
    </row>
    <row r="39" spans="1:47" x14ac:dyDescent="0.2">
      <c r="B39">
        <v>9</v>
      </c>
      <c r="C39">
        <v>25.174825174825173</v>
      </c>
      <c r="I39">
        <v>9</v>
      </c>
      <c r="J39">
        <v>33.912288319583148</v>
      </c>
      <c r="P39">
        <v>9</v>
      </c>
      <c r="Q39">
        <v>56.544686840253348</v>
      </c>
      <c r="W39">
        <v>9</v>
      </c>
      <c r="X39">
        <v>53.978494623655912</v>
      </c>
      <c r="AD39">
        <v>9</v>
      </c>
      <c r="AE39">
        <v>75.966562173458726</v>
      </c>
      <c r="AK39">
        <v>9</v>
      </c>
      <c r="AL39">
        <v>51.23456790123457</v>
      </c>
      <c r="AN39"/>
      <c r="AR39">
        <v>9</v>
      </c>
      <c r="AS39">
        <v>23.80952380952381</v>
      </c>
    </row>
    <row r="40" spans="1:47" x14ac:dyDescent="0.2">
      <c r="B40">
        <v>10</v>
      </c>
      <c r="C40">
        <v>-12.631578947368421</v>
      </c>
      <c r="I40">
        <v>10</v>
      </c>
      <c r="J40">
        <v>48.245614035087719</v>
      </c>
      <c r="P40">
        <v>10</v>
      </c>
      <c r="Q40">
        <v>71.28747795414462</v>
      </c>
      <c r="W40">
        <v>10</v>
      </c>
      <c r="X40">
        <v>56.140350877192986</v>
      </c>
      <c r="AD40">
        <v>10</v>
      </c>
      <c r="AE40">
        <v>55.068542568542568</v>
      </c>
      <c r="AK40">
        <v>10</v>
      </c>
      <c r="AL40">
        <v>63.700189753320686</v>
      </c>
      <c r="AN40"/>
      <c r="AR40">
        <v>10</v>
      </c>
      <c r="AS40">
        <v>36.116803278688522</v>
      </c>
    </row>
    <row r="41" spans="1:47" x14ac:dyDescent="0.2">
      <c r="B41">
        <v>11</v>
      </c>
      <c r="C41">
        <v>13.105413105413106</v>
      </c>
      <c r="I41">
        <v>11</v>
      </c>
      <c r="J41">
        <v>53.333333333333329</v>
      </c>
      <c r="P41">
        <v>11</v>
      </c>
      <c r="Q41">
        <v>57.315936626281456</v>
      </c>
      <c r="W41">
        <v>11</v>
      </c>
      <c r="X41">
        <v>36.666666666666671</v>
      </c>
      <c r="AD41">
        <v>11</v>
      </c>
      <c r="AE41">
        <v>53.211629479377955</v>
      </c>
      <c r="AK41">
        <v>11</v>
      </c>
      <c r="AL41">
        <v>49.215708087662698</v>
      </c>
      <c r="AN41"/>
      <c r="AR41">
        <v>11</v>
      </c>
      <c r="AS41">
        <v>50.378378378378379</v>
      </c>
    </row>
    <row r="42" spans="1:47" x14ac:dyDescent="0.2">
      <c r="B42">
        <v>12</v>
      </c>
      <c r="C42">
        <v>10.416666666666668</v>
      </c>
      <c r="I42">
        <v>12</v>
      </c>
      <c r="J42">
        <v>31.372549019607845</v>
      </c>
      <c r="P42">
        <v>12</v>
      </c>
      <c r="Q42">
        <v>70.400682011935203</v>
      </c>
      <c r="W42">
        <v>12</v>
      </c>
      <c r="X42">
        <v>28.421052631578949</v>
      </c>
      <c r="AD42">
        <v>12</v>
      </c>
      <c r="AE42">
        <v>71.449758991472009</v>
      </c>
      <c r="AK42">
        <v>12</v>
      </c>
      <c r="AL42">
        <v>49.689922480620154</v>
      </c>
      <c r="AN42"/>
      <c r="AR42">
        <v>12</v>
      </c>
      <c r="AS42">
        <v>75.625</v>
      </c>
    </row>
    <row r="43" spans="1:47" x14ac:dyDescent="0.2">
      <c r="AN43"/>
      <c r="AP43" s="8"/>
    </row>
    <row r="44" spans="1:47" x14ac:dyDescent="0.2">
      <c r="A44" t="s">
        <v>6</v>
      </c>
      <c r="H44" s="2" t="s">
        <v>6</v>
      </c>
      <c r="O44" s="2" t="s">
        <v>6</v>
      </c>
      <c r="V44" s="2" t="s">
        <v>6</v>
      </c>
      <c r="AC44" s="2" t="s">
        <v>6</v>
      </c>
      <c r="AJ44" t="s">
        <v>6</v>
      </c>
      <c r="AN44"/>
      <c r="AP44" s="8"/>
      <c r="AQ44" t="s">
        <v>61</v>
      </c>
      <c r="AR44" t="s">
        <v>1</v>
      </c>
      <c r="AS44" t="s">
        <v>2</v>
      </c>
      <c r="AT44" t="s">
        <v>4</v>
      </c>
      <c r="AU44" t="s">
        <v>95</v>
      </c>
    </row>
    <row r="45" spans="1:47" ht="16" x14ac:dyDescent="0.25">
      <c r="A45" t="s">
        <v>18</v>
      </c>
      <c r="H45" s="2" t="s">
        <v>96</v>
      </c>
      <c r="O45" s="2" t="s">
        <v>97</v>
      </c>
      <c r="V45" s="2" t="s">
        <v>96</v>
      </c>
      <c r="AC45" s="2" t="s">
        <v>7</v>
      </c>
      <c r="AJ45" s="2" t="s">
        <v>7</v>
      </c>
      <c r="AN45"/>
      <c r="AP45" s="8"/>
      <c r="AQ45" t="s">
        <v>32</v>
      </c>
      <c r="AR45">
        <v>1</v>
      </c>
      <c r="AS45">
        <v>64.88095238095238</v>
      </c>
      <c r="AT45">
        <f>AVERAGE(AR45:AR56)</f>
        <v>6.5</v>
      </c>
      <c r="AU45" s="4">
        <f>STDEV(AR45:AR56) /SQRT(COUNT(AR45:AR56))</f>
        <v>1.0408329997330663</v>
      </c>
    </row>
    <row r="46" spans="1:47" x14ac:dyDescent="0.2">
      <c r="A46" t="s">
        <v>485</v>
      </c>
      <c r="H46" s="2" t="s">
        <v>431</v>
      </c>
      <c r="O46" s="2" t="s">
        <v>44</v>
      </c>
      <c r="V46" s="2" t="s">
        <v>50</v>
      </c>
      <c r="AC46" s="2" t="s">
        <v>433</v>
      </c>
      <c r="AJ46" s="2" t="s">
        <v>436</v>
      </c>
      <c r="AN46"/>
      <c r="AP46" s="8"/>
      <c r="AQ46" t="s">
        <v>60</v>
      </c>
      <c r="AR46">
        <v>2</v>
      </c>
      <c r="AS46">
        <v>55.417956656346746</v>
      </c>
    </row>
    <row r="47" spans="1:47" x14ac:dyDescent="0.2">
      <c r="A47" t="s">
        <v>486</v>
      </c>
      <c r="H47" s="2" t="s">
        <v>35</v>
      </c>
      <c r="O47" s="2" t="s">
        <v>45</v>
      </c>
      <c r="V47" s="2" t="s">
        <v>51</v>
      </c>
      <c r="AC47" s="2" t="s">
        <v>434</v>
      </c>
      <c r="AJ47" s="2" t="s">
        <v>437</v>
      </c>
      <c r="AN47"/>
      <c r="AP47" s="8"/>
      <c r="AR47">
        <v>3</v>
      </c>
      <c r="AS47">
        <v>69.924812030075188</v>
      </c>
    </row>
    <row r="48" spans="1:47" x14ac:dyDescent="0.2">
      <c r="A48" t="s">
        <v>487</v>
      </c>
      <c r="H48" s="2" t="s">
        <v>36</v>
      </c>
      <c r="O48" s="2" t="s">
        <v>46</v>
      </c>
      <c r="V48" s="2" t="s">
        <v>52</v>
      </c>
      <c r="AC48" s="2" t="s">
        <v>435</v>
      </c>
      <c r="AJ48" s="2" t="s">
        <v>438</v>
      </c>
      <c r="AN48"/>
      <c r="AR48">
        <v>4</v>
      </c>
      <c r="AS48">
        <v>38.795986622073578</v>
      </c>
    </row>
    <row r="49" spans="1:226" x14ac:dyDescent="0.2">
      <c r="A49" t="s">
        <v>37</v>
      </c>
      <c r="H49" s="2" t="s">
        <v>37</v>
      </c>
      <c r="O49" s="2" t="s">
        <v>37</v>
      </c>
      <c r="V49" s="2" t="s">
        <v>37</v>
      </c>
      <c r="AC49" s="3" t="s">
        <v>13</v>
      </c>
      <c r="AJ49" s="3" t="s">
        <v>13</v>
      </c>
      <c r="AN49"/>
      <c r="AR49">
        <v>5</v>
      </c>
      <c r="AS49">
        <v>58.441558441558442</v>
      </c>
    </row>
    <row r="50" spans="1:226" x14ac:dyDescent="0.2">
      <c r="A50" t="s">
        <v>38</v>
      </c>
      <c r="H50" s="2" t="s">
        <v>38</v>
      </c>
      <c r="O50" s="2" t="s">
        <v>38</v>
      </c>
      <c r="V50" s="2" t="s">
        <v>38</v>
      </c>
      <c r="AN50"/>
      <c r="AR50">
        <v>6</v>
      </c>
      <c r="AS50">
        <v>60.649087221095336</v>
      </c>
    </row>
    <row r="51" spans="1:226" x14ac:dyDescent="0.2">
      <c r="A51" t="s">
        <v>13</v>
      </c>
      <c r="H51" s="3" t="s">
        <v>13</v>
      </c>
      <c r="O51" s="3" t="s">
        <v>13</v>
      </c>
      <c r="V51" s="2" t="s">
        <v>13</v>
      </c>
      <c r="AN51"/>
      <c r="AR51">
        <v>7</v>
      </c>
      <c r="AS51">
        <v>55</v>
      </c>
    </row>
    <row r="52" spans="1:226" x14ac:dyDescent="0.2">
      <c r="AJ52" s="2"/>
      <c r="AN52"/>
      <c r="AR52">
        <v>8</v>
      </c>
      <c r="AS52">
        <v>25.163398692810457</v>
      </c>
    </row>
    <row r="53" spans="1:226" s="1" customFormat="1" x14ac:dyDescent="0.2">
      <c r="AQ53"/>
      <c r="AR53">
        <v>9</v>
      </c>
      <c r="AS53">
        <v>48.684210526315795</v>
      </c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</row>
    <row r="54" spans="1:226" x14ac:dyDescent="0.2">
      <c r="A54" t="s">
        <v>77</v>
      </c>
      <c r="C54" t="s">
        <v>391</v>
      </c>
      <c r="H54" t="s">
        <v>479</v>
      </c>
      <c r="J54" t="s">
        <v>390</v>
      </c>
      <c r="O54" t="s">
        <v>478</v>
      </c>
      <c r="Q54" t="s">
        <v>390</v>
      </c>
      <c r="V54" t="s">
        <v>480</v>
      </c>
      <c r="X54" t="s">
        <v>391</v>
      </c>
      <c r="AC54" t="s">
        <v>481</v>
      </c>
      <c r="AE54" t="s">
        <v>391</v>
      </c>
      <c r="AJ54" t="s">
        <v>482</v>
      </c>
      <c r="AL54" t="s">
        <v>391</v>
      </c>
      <c r="AN54"/>
      <c r="AR54">
        <v>10</v>
      </c>
      <c r="AS54">
        <v>75.568181818181813</v>
      </c>
    </row>
    <row r="55" spans="1:226" x14ac:dyDescent="0.2">
      <c r="A55" t="s">
        <v>61</v>
      </c>
      <c r="B55" t="s">
        <v>1</v>
      </c>
      <c r="C55" t="s">
        <v>2</v>
      </c>
      <c r="D55" t="s">
        <v>4</v>
      </c>
      <c r="E55" t="s">
        <v>95</v>
      </c>
      <c r="H55" t="s">
        <v>61</v>
      </c>
      <c r="I55" t="s">
        <v>1</v>
      </c>
      <c r="J55" t="s">
        <v>2</v>
      </c>
      <c r="K55" t="s">
        <v>4</v>
      </c>
      <c r="L55" t="s">
        <v>95</v>
      </c>
      <c r="O55" t="s">
        <v>61</v>
      </c>
      <c r="P55" t="s">
        <v>1</v>
      </c>
      <c r="Q55" t="s">
        <v>2</v>
      </c>
      <c r="R55" t="s">
        <v>4</v>
      </c>
      <c r="S55" t="s">
        <v>95</v>
      </c>
      <c r="V55" t="s">
        <v>61</v>
      </c>
      <c r="W55" t="s">
        <v>1</v>
      </c>
      <c r="X55" t="s">
        <v>2</v>
      </c>
      <c r="Y55" t="s">
        <v>4</v>
      </c>
      <c r="Z55" t="s">
        <v>95</v>
      </c>
      <c r="AC55" t="s">
        <v>61</v>
      </c>
      <c r="AD55" t="s">
        <v>1</v>
      </c>
      <c r="AE55" t="s">
        <v>2</v>
      </c>
      <c r="AF55" t="s">
        <v>4</v>
      </c>
      <c r="AG55" t="s">
        <v>95</v>
      </c>
      <c r="AJ55" t="s">
        <v>61</v>
      </c>
      <c r="AK55" t="s">
        <v>1</v>
      </c>
      <c r="AL55" t="s">
        <v>2</v>
      </c>
      <c r="AM55" t="s">
        <v>4</v>
      </c>
      <c r="AN55" t="s">
        <v>95</v>
      </c>
      <c r="AR55">
        <v>11</v>
      </c>
      <c r="AS55">
        <v>37.777777777777779</v>
      </c>
    </row>
    <row r="56" spans="1:226" ht="16" x14ac:dyDescent="0.25">
      <c r="A56" t="s">
        <v>32</v>
      </c>
      <c r="B56">
        <v>1</v>
      </c>
      <c r="C56">
        <v>28.771929824561401</v>
      </c>
      <c r="D56">
        <f>AVERAGE(C56:C67)</f>
        <v>62.090580881819648</v>
      </c>
      <c r="E56" s="4">
        <f>STDEV(C56:C67) /SQRT(COUNT(C56:C67))</f>
        <v>4.5836706894600354</v>
      </c>
      <c r="H56" t="s">
        <v>32</v>
      </c>
      <c r="I56">
        <v>1</v>
      </c>
      <c r="J56">
        <v>64.242424242424235</v>
      </c>
      <c r="K56">
        <v>72.137809951506441</v>
      </c>
      <c r="L56" s="4">
        <f>STDEV(J56:J67) /SQRT(COUNT(J56:J67))</f>
        <v>2.5872777678116408</v>
      </c>
      <c r="O56" t="s">
        <v>32</v>
      </c>
      <c r="P56">
        <v>1</v>
      </c>
      <c r="Q56">
        <v>64.444444444444443</v>
      </c>
      <c r="R56">
        <v>50.82222677133668</v>
      </c>
      <c r="S56" s="4">
        <f>STDEV(Q56:Q67) /SQRT(COUNT(Q56:Q67))</f>
        <v>2.6704747494746321</v>
      </c>
      <c r="V56" t="s">
        <v>32</v>
      </c>
      <c r="W56">
        <v>1</v>
      </c>
      <c r="X56">
        <v>30.523627075351214</v>
      </c>
      <c r="Y56">
        <v>63.640881364812735</v>
      </c>
      <c r="Z56" s="4">
        <f>STDEV(X56:X67) /SQRT(COUNT(X56:X67))</f>
        <v>7.2341637342733591</v>
      </c>
      <c r="AC56" t="s">
        <v>32</v>
      </c>
      <c r="AD56">
        <v>1</v>
      </c>
      <c r="AE56">
        <v>75</v>
      </c>
      <c r="AF56">
        <v>64.207618077729521</v>
      </c>
      <c r="AG56" s="4">
        <f>STDEV(AE56:AE67) /SQRT(COUNT(AE56:AE67))</f>
        <v>4.7672096491788052</v>
      </c>
      <c r="AJ56" t="s">
        <v>32</v>
      </c>
      <c r="AK56">
        <v>1</v>
      </c>
      <c r="AL56">
        <v>54.666666666666671</v>
      </c>
      <c r="AM56">
        <v>55.761573050272752</v>
      </c>
      <c r="AN56" s="4">
        <f>STDEV(AL56:AL67) /SQRT(COUNT(AL56:AL67))</f>
        <v>3.111913176799729</v>
      </c>
      <c r="AR56">
        <v>12</v>
      </c>
      <c r="AS56">
        <v>44.230769230769226</v>
      </c>
    </row>
    <row r="57" spans="1:226" x14ac:dyDescent="0.2">
      <c r="A57" t="s">
        <v>57</v>
      </c>
      <c r="B57">
        <v>2</v>
      </c>
      <c r="C57">
        <v>84.21052631578948</v>
      </c>
      <c r="I57">
        <v>2</v>
      </c>
      <c r="J57">
        <v>83.333333333333343</v>
      </c>
      <c r="P57">
        <v>2</v>
      </c>
      <c r="Q57">
        <v>45.112781954887218</v>
      </c>
      <c r="W57">
        <v>2</v>
      </c>
      <c r="X57">
        <v>37.837837837837839</v>
      </c>
      <c r="AD57">
        <v>2</v>
      </c>
      <c r="AE57">
        <v>81.25</v>
      </c>
      <c r="AK57">
        <v>2</v>
      </c>
      <c r="AL57">
        <v>54.761904761904759</v>
      </c>
      <c r="AN57"/>
    </row>
    <row r="58" spans="1:226" x14ac:dyDescent="0.2">
      <c r="B58">
        <v>3</v>
      </c>
      <c r="C58">
        <v>54.715447154471548</v>
      </c>
      <c r="I58">
        <v>3</v>
      </c>
      <c r="J58">
        <v>60.437710437710436</v>
      </c>
      <c r="P58">
        <v>3</v>
      </c>
      <c r="Q58">
        <v>42.063492063492063</v>
      </c>
      <c r="W58">
        <v>3</v>
      </c>
      <c r="X58">
        <v>49.759903961584634</v>
      </c>
      <c r="AD58">
        <v>3</v>
      </c>
      <c r="AE58">
        <v>52.38095238095238</v>
      </c>
      <c r="AK58">
        <v>3</v>
      </c>
      <c r="AL58">
        <v>50</v>
      </c>
      <c r="AN58"/>
      <c r="AQ58" t="s">
        <v>3</v>
      </c>
      <c r="AR58" t="s">
        <v>1</v>
      </c>
      <c r="AS58" t="s">
        <v>2</v>
      </c>
      <c r="AT58" t="s">
        <v>4</v>
      </c>
      <c r="AU58" t="s">
        <v>95</v>
      </c>
    </row>
    <row r="59" spans="1:226" ht="16" x14ac:dyDescent="0.25">
      <c r="B59">
        <v>4</v>
      </c>
      <c r="C59">
        <v>59.428571428571431</v>
      </c>
      <c r="I59">
        <v>4</v>
      </c>
      <c r="J59">
        <v>70.256410256410263</v>
      </c>
      <c r="P59">
        <v>4</v>
      </c>
      <c r="Q59">
        <v>45.614035087719301</v>
      </c>
      <c r="W59">
        <v>4</v>
      </c>
      <c r="X59">
        <v>71.428571428571431</v>
      </c>
      <c r="AD59">
        <v>4</v>
      </c>
      <c r="AE59">
        <v>56.666666666666671</v>
      </c>
      <c r="AK59">
        <v>4</v>
      </c>
      <c r="AL59">
        <v>75</v>
      </c>
      <c r="AN59"/>
      <c r="AQ59" t="s">
        <v>58</v>
      </c>
      <c r="AR59">
        <v>1</v>
      </c>
      <c r="AS59">
        <v>58.109756097560975</v>
      </c>
      <c r="AT59">
        <f>AVERAGE(AS59:AS70)</f>
        <v>53.779485050706192</v>
      </c>
      <c r="AU59" s="4">
        <f>STDEV(AS59:AS70) /SQRT(COUNT(AS59:AS70))</f>
        <v>5.1686922876949843</v>
      </c>
    </row>
    <row r="60" spans="1:226" x14ac:dyDescent="0.2">
      <c r="B60">
        <v>5</v>
      </c>
      <c r="C60">
        <v>63.186813186813183</v>
      </c>
      <c r="I60">
        <v>5</v>
      </c>
      <c r="J60">
        <v>79.391891891891902</v>
      </c>
      <c r="P60">
        <v>5</v>
      </c>
      <c r="Q60">
        <v>41.666666666666671</v>
      </c>
      <c r="W60">
        <v>5</v>
      </c>
      <c r="X60">
        <v>100</v>
      </c>
      <c r="AD60">
        <v>5</v>
      </c>
      <c r="AE60">
        <v>24.053826745164002</v>
      </c>
      <c r="AK60">
        <v>5</v>
      </c>
      <c r="AL60">
        <v>46.428571428571431</v>
      </c>
      <c r="AN60"/>
      <c r="AQ60" t="s">
        <v>60</v>
      </c>
      <c r="AR60">
        <v>2</v>
      </c>
      <c r="AS60">
        <v>48.938992042440319</v>
      </c>
    </row>
    <row r="61" spans="1:226" x14ac:dyDescent="0.2">
      <c r="B61">
        <v>6</v>
      </c>
      <c r="C61">
        <v>44.505494505494504</v>
      </c>
      <c r="I61">
        <v>6</v>
      </c>
      <c r="J61">
        <v>72.427360774818396</v>
      </c>
      <c r="P61">
        <v>6</v>
      </c>
      <c r="Q61">
        <v>42.5</v>
      </c>
      <c r="W61">
        <v>6</v>
      </c>
      <c r="X61">
        <v>17.307692307692307</v>
      </c>
      <c r="AD61">
        <v>6</v>
      </c>
      <c r="AE61">
        <v>77.777777777777771</v>
      </c>
      <c r="AK61">
        <v>6</v>
      </c>
      <c r="AL61">
        <v>46.666666666666671</v>
      </c>
      <c r="AN61"/>
      <c r="AR61">
        <v>3</v>
      </c>
      <c r="AS61">
        <v>74.242424242424249</v>
      </c>
    </row>
    <row r="62" spans="1:226" x14ac:dyDescent="0.2">
      <c r="B62">
        <v>7</v>
      </c>
      <c r="C62">
        <v>70.329670329670336</v>
      </c>
      <c r="I62">
        <v>7</v>
      </c>
      <c r="J62">
        <v>86.542443064182194</v>
      </c>
      <c r="P62">
        <v>7</v>
      </c>
      <c r="Q62">
        <v>45.454545454545453</v>
      </c>
      <c r="W62">
        <v>7</v>
      </c>
      <c r="X62">
        <v>80.909090909090907</v>
      </c>
      <c r="AD62">
        <v>7</v>
      </c>
      <c r="AE62">
        <v>70.634920634920633</v>
      </c>
      <c r="AK62">
        <v>7</v>
      </c>
      <c r="AL62">
        <v>66.666666666666671</v>
      </c>
      <c r="AN62"/>
      <c r="AR62">
        <v>4</v>
      </c>
      <c r="AS62">
        <v>35.609756097560975</v>
      </c>
    </row>
    <row r="63" spans="1:226" x14ac:dyDescent="0.2">
      <c r="B63">
        <v>8</v>
      </c>
      <c r="C63">
        <v>71.818181818181813</v>
      </c>
      <c r="I63">
        <v>8</v>
      </c>
      <c r="J63">
        <v>72.916666666666671</v>
      </c>
      <c r="P63">
        <v>8</v>
      </c>
      <c r="Q63">
        <v>62.637362637362642</v>
      </c>
      <c r="W63">
        <v>8</v>
      </c>
      <c r="X63">
        <v>88.888888888888886</v>
      </c>
      <c r="AD63">
        <v>8</v>
      </c>
      <c r="AE63">
        <v>58.333333333333336</v>
      </c>
      <c r="AK63">
        <v>8</v>
      </c>
      <c r="AL63">
        <v>60</v>
      </c>
      <c r="AN63"/>
      <c r="AR63">
        <v>5</v>
      </c>
      <c r="AS63">
        <v>77.777777777777771</v>
      </c>
    </row>
    <row r="64" spans="1:226" x14ac:dyDescent="0.2">
      <c r="B64">
        <v>9</v>
      </c>
      <c r="C64">
        <v>48.214285714285715</v>
      </c>
      <c r="I64">
        <v>9</v>
      </c>
      <c r="J64">
        <v>60.645161290322577</v>
      </c>
      <c r="P64">
        <v>9</v>
      </c>
      <c r="Q64">
        <v>49.230769230769226</v>
      </c>
      <c r="W64">
        <v>9</v>
      </c>
      <c r="X64">
        <v>77.777777777777771</v>
      </c>
      <c r="AD64">
        <v>9</v>
      </c>
      <c r="AE64">
        <v>55</v>
      </c>
      <c r="AK64">
        <v>9</v>
      </c>
      <c r="AL64">
        <v>59.597523219814249</v>
      </c>
      <c r="AN64"/>
      <c r="AR64">
        <v>6</v>
      </c>
      <c r="AS64">
        <v>66.666666666666671</v>
      </c>
    </row>
    <row r="65" spans="1:226" x14ac:dyDescent="0.2">
      <c r="B65">
        <v>10</v>
      </c>
      <c r="C65">
        <v>68.825910931174093</v>
      </c>
      <c r="I65">
        <v>10</v>
      </c>
      <c r="J65">
        <v>82.222222222222229</v>
      </c>
      <c r="P65">
        <v>10</v>
      </c>
      <c r="Q65">
        <v>46.428571428571431</v>
      </c>
      <c r="W65">
        <v>10</v>
      </c>
      <c r="X65">
        <v>58.928571428571431</v>
      </c>
      <c r="AD65">
        <v>10</v>
      </c>
      <c r="AE65">
        <v>83.333333333333343</v>
      </c>
      <c r="AK65">
        <v>10</v>
      </c>
      <c r="AL65">
        <v>63.333333333333336</v>
      </c>
      <c r="AN65"/>
      <c r="AR65">
        <v>7</v>
      </c>
      <c r="AS65">
        <v>29.33227344992051</v>
      </c>
    </row>
    <row r="66" spans="1:226" x14ac:dyDescent="0.2">
      <c r="B66">
        <v>11</v>
      </c>
      <c r="C66">
        <v>80</v>
      </c>
      <c r="I66">
        <v>11</v>
      </c>
      <c r="J66">
        <v>66.666666666666657</v>
      </c>
      <c r="P66">
        <v>11</v>
      </c>
      <c r="Q66">
        <v>60.130718954248366</v>
      </c>
      <c r="W66">
        <v>11</v>
      </c>
      <c r="X66">
        <v>75.328614762386252</v>
      </c>
      <c r="AD66">
        <v>11</v>
      </c>
      <c r="AE66">
        <v>63.333333333333336</v>
      </c>
      <c r="AK66">
        <v>11</v>
      </c>
      <c r="AL66">
        <v>58.333333333333336</v>
      </c>
      <c r="AN66"/>
      <c r="AR66">
        <v>8</v>
      </c>
      <c r="AS66">
        <v>28</v>
      </c>
    </row>
    <row r="67" spans="1:226" s="1" customFormat="1" x14ac:dyDescent="0.2">
      <c r="A67"/>
      <c r="B67">
        <v>12</v>
      </c>
      <c r="C67">
        <v>71.080139372822302</v>
      </c>
      <c r="D67"/>
      <c r="E67"/>
      <c r="F67"/>
      <c r="H67"/>
      <c r="I67">
        <v>12</v>
      </c>
      <c r="J67">
        <v>66.571428571428569</v>
      </c>
      <c r="K67"/>
      <c r="L67"/>
      <c r="M67"/>
      <c r="O67"/>
      <c r="P67">
        <v>12</v>
      </c>
      <c r="Q67">
        <v>64.583333333333343</v>
      </c>
      <c r="R67"/>
      <c r="S67"/>
      <c r="T67"/>
      <c r="V67"/>
      <c r="W67">
        <v>12</v>
      </c>
      <c r="X67">
        <v>75</v>
      </c>
      <c r="Y67"/>
      <c r="Z67"/>
      <c r="AA67"/>
      <c r="AC67"/>
      <c r="AD67">
        <v>12</v>
      </c>
      <c r="AE67">
        <v>72.72727272727272</v>
      </c>
      <c r="AF67"/>
      <c r="AG67"/>
      <c r="AH67"/>
      <c r="AJ67"/>
      <c r="AK67">
        <v>12</v>
      </c>
      <c r="AL67">
        <v>33.684210526315795</v>
      </c>
      <c r="AM67"/>
      <c r="AN67"/>
      <c r="AO67"/>
      <c r="AQ67"/>
      <c r="AR67">
        <v>9</v>
      </c>
      <c r="AS67">
        <v>46.166198313930153</v>
      </c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</row>
    <row r="68" spans="1:226" x14ac:dyDescent="0.2">
      <c r="AN68"/>
      <c r="AR68">
        <v>10</v>
      </c>
      <c r="AS68">
        <v>70.321637426900594</v>
      </c>
    </row>
    <row r="69" spans="1:226" x14ac:dyDescent="0.2">
      <c r="A69" t="s">
        <v>3</v>
      </c>
      <c r="B69" t="s">
        <v>1</v>
      </c>
      <c r="C69" t="s">
        <v>2</v>
      </c>
      <c r="D69" t="s">
        <v>4</v>
      </c>
      <c r="E69" t="s">
        <v>95</v>
      </c>
      <c r="H69" t="s">
        <v>3</v>
      </c>
      <c r="I69" t="s">
        <v>1</v>
      </c>
      <c r="J69" t="s">
        <v>2</v>
      </c>
      <c r="K69" t="s">
        <v>4</v>
      </c>
      <c r="L69" t="s">
        <v>95</v>
      </c>
      <c r="O69" t="s">
        <v>3</v>
      </c>
      <c r="P69" t="s">
        <v>1</v>
      </c>
      <c r="Q69" t="s">
        <v>2</v>
      </c>
      <c r="R69" t="s">
        <v>4</v>
      </c>
      <c r="S69" t="s">
        <v>95</v>
      </c>
      <c r="V69" t="s">
        <v>3</v>
      </c>
      <c r="W69" t="s">
        <v>1</v>
      </c>
      <c r="X69" t="s">
        <v>2</v>
      </c>
      <c r="Y69" t="s">
        <v>4</v>
      </c>
      <c r="Z69" t="s">
        <v>95</v>
      </c>
      <c r="AC69" t="s">
        <v>3</v>
      </c>
      <c r="AD69" t="s">
        <v>1</v>
      </c>
      <c r="AE69" t="s">
        <v>2</v>
      </c>
      <c r="AF69" t="s">
        <v>4</v>
      </c>
      <c r="AG69" t="s">
        <v>95</v>
      </c>
      <c r="AJ69" t="s">
        <v>3</v>
      </c>
      <c r="AK69" t="s">
        <v>1</v>
      </c>
      <c r="AL69" t="s">
        <v>2</v>
      </c>
      <c r="AM69" t="s">
        <v>4</v>
      </c>
      <c r="AN69" t="s">
        <v>95</v>
      </c>
      <c r="AR69">
        <v>11</v>
      </c>
      <c r="AS69">
        <v>41.021671826625386</v>
      </c>
    </row>
    <row r="70" spans="1:226" ht="16" x14ac:dyDescent="0.25">
      <c r="A70" t="s">
        <v>78</v>
      </c>
      <c r="B70">
        <v>1</v>
      </c>
      <c r="C70">
        <v>38.288920056100977</v>
      </c>
      <c r="D70">
        <f>AVERAGE(C70:C81)</f>
        <v>59.658985549422887</v>
      </c>
      <c r="E70" s="4">
        <f>STDEV(C70:C81) /SQRT(COUNT(C70:C81))</f>
        <v>4.6308557394440433</v>
      </c>
      <c r="H70" t="s">
        <v>33</v>
      </c>
      <c r="I70">
        <v>1</v>
      </c>
      <c r="J70">
        <v>57.142857142857146</v>
      </c>
      <c r="K70">
        <v>66.489323001363843</v>
      </c>
      <c r="L70" s="4">
        <f>STDEV(J70:J81) /SQRT(COUNT(J70:J81))</f>
        <v>3.1197495088221774</v>
      </c>
      <c r="O70" t="s">
        <v>33</v>
      </c>
      <c r="P70">
        <v>1</v>
      </c>
      <c r="Q70">
        <v>91.666666666666657</v>
      </c>
      <c r="R70">
        <v>62.75603597858057</v>
      </c>
      <c r="S70" s="4">
        <f>STDEV(Q70:Q81) /SQRT(COUNT(Q70:Q81))</f>
        <v>4.1251265879099348</v>
      </c>
      <c r="V70" t="s">
        <v>48</v>
      </c>
      <c r="W70">
        <v>1</v>
      </c>
      <c r="X70">
        <v>36.824324324324323</v>
      </c>
      <c r="Y70">
        <v>70.168949272369673</v>
      </c>
      <c r="Z70" s="4">
        <f>STDEV(X70:X81) /SQRT(COUNT(X70:X81))</f>
        <v>4.4220702521342048</v>
      </c>
      <c r="AC70" t="s">
        <v>48</v>
      </c>
      <c r="AD70">
        <v>1</v>
      </c>
      <c r="AE70">
        <v>49.014778325123146</v>
      </c>
      <c r="AF70">
        <v>52.839468071131854</v>
      </c>
      <c r="AG70" s="4">
        <f>STDEV(AE70:AE81) /SQRT(COUNT(AE70:AE81))</f>
        <v>4.7323823907902005</v>
      </c>
      <c r="AJ70" t="s">
        <v>48</v>
      </c>
      <c r="AK70">
        <v>1</v>
      </c>
      <c r="AL70">
        <v>73.214285714285722</v>
      </c>
      <c r="AM70">
        <v>59.735711148754632</v>
      </c>
      <c r="AN70" s="4">
        <f>STDEV(AL70:AL81) /SQRT(COUNT(AL70:AL81))</f>
        <v>6.4099376694204224</v>
      </c>
      <c r="AR70">
        <v>12</v>
      </c>
      <c r="AS70">
        <v>69.166666666666671</v>
      </c>
    </row>
    <row r="71" spans="1:226" x14ac:dyDescent="0.2">
      <c r="A71" t="s">
        <v>57</v>
      </c>
      <c r="B71">
        <v>2</v>
      </c>
      <c r="C71">
        <v>77.124183006535944</v>
      </c>
      <c r="I71">
        <v>2</v>
      </c>
      <c r="J71">
        <v>66.666666666666671</v>
      </c>
      <c r="P71">
        <v>2</v>
      </c>
      <c r="Q71">
        <v>45.714285714285715</v>
      </c>
      <c r="W71">
        <v>2</v>
      </c>
      <c r="X71">
        <v>60</v>
      </c>
      <c r="AD71">
        <v>2</v>
      </c>
      <c r="AE71">
        <v>72.604166666666657</v>
      </c>
      <c r="AK71">
        <v>2</v>
      </c>
      <c r="AL71">
        <v>32.142857142857146</v>
      </c>
      <c r="AN71"/>
    </row>
    <row r="72" spans="1:226" x14ac:dyDescent="0.2">
      <c r="B72">
        <v>3</v>
      </c>
      <c r="C72">
        <v>48.511904761904759</v>
      </c>
      <c r="I72">
        <v>3</v>
      </c>
      <c r="J72">
        <v>65</v>
      </c>
      <c r="P72">
        <v>3</v>
      </c>
      <c r="Q72">
        <v>75</v>
      </c>
      <c r="W72">
        <v>3</v>
      </c>
      <c r="X72">
        <v>94.117647058823536</v>
      </c>
      <c r="AD72">
        <v>3</v>
      </c>
      <c r="AE72">
        <v>34.294871794871796</v>
      </c>
      <c r="AK72">
        <v>3</v>
      </c>
      <c r="AL72">
        <v>30.555555555555557</v>
      </c>
      <c r="AN72"/>
      <c r="AQ72" t="s">
        <v>5</v>
      </c>
      <c r="AR72" t="s">
        <v>1</v>
      </c>
      <c r="AS72" t="s">
        <v>2</v>
      </c>
      <c r="AT72" t="s">
        <v>4</v>
      </c>
      <c r="AU72" t="s">
        <v>95</v>
      </c>
    </row>
    <row r="73" spans="1:226" ht="16" x14ac:dyDescent="0.25">
      <c r="B73">
        <v>4</v>
      </c>
      <c r="C73">
        <v>43.166357452071736</v>
      </c>
      <c r="I73">
        <v>4</v>
      </c>
      <c r="J73">
        <v>81.231671554252188</v>
      </c>
      <c r="P73">
        <v>4</v>
      </c>
      <c r="Q73">
        <v>39.876880984952123</v>
      </c>
      <c r="W73">
        <v>4</v>
      </c>
      <c r="X73">
        <v>59.428571428571431</v>
      </c>
      <c r="AD73">
        <v>4</v>
      </c>
      <c r="AE73">
        <v>50.183150183150182</v>
      </c>
      <c r="AK73">
        <v>4</v>
      </c>
      <c r="AL73">
        <v>67.5</v>
      </c>
      <c r="AN73"/>
      <c r="AQ73" t="s">
        <v>59</v>
      </c>
      <c r="AR73">
        <v>1</v>
      </c>
      <c r="AS73">
        <v>36.155606407322651</v>
      </c>
      <c r="AT73">
        <f>AVERAGE(AS73:AS84)</f>
        <v>26.411664201592661</v>
      </c>
      <c r="AU73" s="4">
        <f>STDEV(AS73:AS84) /SQRT(COUNT(AS73:AS84))</f>
        <v>4.9458357262276671</v>
      </c>
    </row>
    <row r="74" spans="1:226" x14ac:dyDescent="0.2">
      <c r="B74">
        <v>5</v>
      </c>
      <c r="C74">
        <v>46.666666666666671</v>
      </c>
      <c r="I74">
        <v>5</v>
      </c>
      <c r="J74">
        <v>41.97530864197531</v>
      </c>
      <c r="P74">
        <v>5</v>
      </c>
      <c r="Q74">
        <v>69.117647058823536</v>
      </c>
      <c r="W74">
        <v>5</v>
      </c>
      <c r="X74">
        <v>66.666666666666671</v>
      </c>
      <c r="AD74">
        <v>5</v>
      </c>
      <c r="AE74">
        <v>15.376676986584107</v>
      </c>
      <c r="AK74">
        <v>5</v>
      </c>
      <c r="AL74">
        <v>54.037267080745337</v>
      </c>
      <c r="AN74"/>
      <c r="AQ74" t="s">
        <v>60</v>
      </c>
      <c r="AR74">
        <v>2</v>
      </c>
      <c r="AS74">
        <v>33.333333333333336</v>
      </c>
    </row>
    <row r="75" spans="1:226" x14ac:dyDescent="0.2">
      <c r="B75">
        <v>6</v>
      </c>
      <c r="C75">
        <v>70.833333333333343</v>
      </c>
      <c r="I75">
        <v>6</v>
      </c>
      <c r="J75">
        <v>66.144018583042964</v>
      </c>
      <c r="P75">
        <v>6</v>
      </c>
      <c r="Q75">
        <v>49.206349206349202</v>
      </c>
      <c r="W75">
        <v>6</v>
      </c>
      <c r="X75">
        <v>67.5</v>
      </c>
      <c r="AD75">
        <v>6</v>
      </c>
      <c r="AE75">
        <v>60.714285714285715</v>
      </c>
      <c r="AK75">
        <v>6</v>
      </c>
      <c r="AL75">
        <v>83.333333333333343</v>
      </c>
      <c r="AN75"/>
      <c r="AR75">
        <v>3</v>
      </c>
      <c r="AS75">
        <v>45.959595959595958</v>
      </c>
    </row>
    <row r="76" spans="1:226" x14ac:dyDescent="0.2">
      <c r="B76">
        <v>7</v>
      </c>
      <c r="C76">
        <v>51.428571428571431</v>
      </c>
      <c r="I76">
        <v>7</v>
      </c>
      <c r="J76">
        <v>75.906526994359382</v>
      </c>
      <c r="P76">
        <v>7</v>
      </c>
      <c r="Q76">
        <v>64.092953523238378</v>
      </c>
      <c r="W76">
        <v>7</v>
      </c>
      <c r="X76">
        <v>78.93277893277893</v>
      </c>
      <c r="AD76">
        <v>7</v>
      </c>
      <c r="AE76">
        <v>69.019607843137251</v>
      </c>
      <c r="AK76">
        <v>7</v>
      </c>
      <c r="AL76">
        <v>48.484848484848484</v>
      </c>
      <c r="AN76"/>
      <c r="AR76">
        <v>4</v>
      </c>
      <c r="AS76">
        <v>17.272727272727273</v>
      </c>
    </row>
    <row r="77" spans="1:226" x14ac:dyDescent="0.2">
      <c r="B77">
        <v>8</v>
      </c>
      <c r="C77">
        <v>81.746031746031747</v>
      </c>
      <c r="I77">
        <v>8</v>
      </c>
      <c r="J77">
        <v>80.735930735930737</v>
      </c>
      <c r="P77">
        <v>8</v>
      </c>
      <c r="Q77">
        <v>55.315614617940199</v>
      </c>
      <c r="W77">
        <v>8</v>
      </c>
      <c r="X77">
        <v>83.80952380952381</v>
      </c>
      <c r="AD77">
        <v>8</v>
      </c>
      <c r="AE77">
        <v>47.195767195767196</v>
      </c>
      <c r="AK77">
        <v>8</v>
      </c>
      <c r="AL77">
        <v>100</v>
      </c>
      <c r="AN77"/>
      <c r="AR77">
        <v>5</v>
      </c>
      <c r="AS77">
        <v>52.280701754385959</v>
      </c>
    </row>
    <row r="78" spans="1:226" x14ac:dyDescent="0.2">
      <c r="B78">
        <v>9</v>
      </c>
      <c r="C78">
        <v>44.405594405594407</v>
      </c>
      <c r="I78">
        <v>9</v>
      </c>
      <c r="J78">
        <v>58.017135862913094</v>
      </c>
      <c r="P78">
        <v>9</v>
      </c>
      <c r="Q78">
        <v>61.874197689345316</v>
      </c>
      <c r="W78">
        <v>9</v>
      </c>
      <c r="X78">
        <v>63.865308432371251</v>
      </c>
      <c r="AD78">
        <v>9</v>
      </c>
      <c r="AE78">
        <v>53.246753246753244</v>
      </c>
      <c r="AK78">
        <v>9</v>
      </c>
      <c r="AL78">
        <v>42.401656314699792</v>
      </c>
      <c r="AN78"/>
      <c r="AR78">
        <v>6</v>
      </c>
      <c r="AS78">
        <v>35.064935064935064</v>
      </c>
    </row>
    <row r="79" spans="1:226" x14ac:dyDescent="0.2">
      <c r="B79">
        <v>10</v>
      </c>
      <c r="C79">
        <v>60.714285714285715</v>
      </c>
      <c r="I79">
        <v>10</v>
      </c>
      <c r="J79">
        <v>69.047619047619051</v>
      </c>
      <c r="P79">
        <v>10</v>
      </c>
      <c r="Q79">
        <v>63.286713286713294</v>
      </c>
      <c r="W79">
        <v>10</v>
      </c>
      <c r="X79">
        <v>69.721767594108016</v>
      </c>
      <c r="AD79">
        <v>10</v>
      </c>
      <c r="AE79">
        <v>54.761904761904759</v>
      </c>
      <c r="AK79">
        <v>10</v>
      </c>
      <c r="AL79">
        <v>55</v>
      </c>
      <c r="AN79"/>
      <c r="AR79">
        <v>7</v>
      </c>
      <c r="AS79">
        <v>-0.46296296296296369</v>
      </c>
    </row>
    <row r="80" spans="1:226" x14ac:dyDescent="0.2">
      <c r="B80">
        <v>11</v>
      </c>
      <c r="C80">
        <v>73.214285714285722</v>
      </c>
      <c r="I80">
        <v>11</v>
      </c>
      <c r="J80">
        <v>66.956521739130437</v>
      </c>
      <c r="P80">
        <v>11</v>
      </c>
      <c r="Q80">
        <v>75.568181818181813</v>
      </c>
      <c r="W80">
        <v>11</v>
      </c>
      <c r="X80">
        <v>88.888888888888886</v>
      </c>
      <c r="AD80">
        <v>11</v>
      </c>
      <c r="AE80">
        <v>53.94736842105263</v>
      </c>
      <c r="AK80">
        <v>11</v>
      </c>
      <c r="AL80">
        <v>85.714285714285722</v>
      </c>
      <c r="AN80"/>
      <c r="AR80">
        <v>8</v>
      </c>
      <c r="AS80">
        <v>3.8461538461538463</v>
      </c>
    </row>
    <row r="81" spans="1:45" x14ac:dyDescent="0.2">
      <c r="B81">
        <v>12</v>
      </c>
      <c r="C81">
        <v>79.807692307692307</v>
      </c>
      <c r="I81">
        <v>12</v>
      </c>
      <c r="J81">
        <v>69.047619047619051</v>
      </c>
      <c r="P81">
        <v>12</v>
      </c>
      <c r="Q81">
        <v>62.352941176470587</v>
      </c>
      <c r="W81">
        <v>12</v>
      </c>
      <c r="X81">
        <v>72.271914132379251</v>
      </c>
      <c r="AD81">
        <v>12</v>
      </c>
      <c r="AE81">
        <v>73.714285714285722</v>
      </c>
      <c r="AK81">
        <v>12</v>
      </c>
      <c r="AL81">
        <v>44.444444444444443</v>
      </c>
      <c r="AN81"/>
      <c r="AR81">
        <v>9</v>
      </c>
      <c r="AS81">
        <v>30.666666666666668</v>
      </c>
    </row>
    <row r="82" spans="1:45" x14ac:dyDescent="0.2">
      <c r="AN82"/>
      <c r="AR82">
        <v>10</v>
      </c>
      <c r="AS82">
        <v>39.811320754716981</v>
      </c>
    </row>
    <row r="83" spans="1:45" x14ac:dyDescent="0.2">
      <c r="A83" t="s">
        <v>5</v>
      </c>
      <c r="B83" t="s">
        <v>1</v>
      </c>
      <c r="C83" t="s">
        <v>2</v>
      </c>
      <c r="D83" t="s">
        <v>4</v>
      </c>
      <c r="E83" t="s">
        <v>95</v>
      </c>
      <c r="H83" t="s">
        <v>5</v>
      </c>
      <c r="I83" t="s">
        <v>1</v>
      </c>
      <c r="J83" t="s">
        <v>2</v>
      </c>
      <c r="K83" t="s">
        <v>4</v>
      </c>
      <c r="L83" t="s">
        <v>95</v>
      </c>
      <c r="O83" t="s">
        <v>5</v>
      </c>
      <c r="P83" t="s">
        <v>1</v>
      </c>
      <c r="Q83" t="s">
        <v>2</v>
      </c>
      <c r="R83" t="s">
        <v>4</v>
      </c>
      <c r="S83" t="s">
        <v>95</v>
      </c>
      <c r="V83" t="s">
        <v>5</v>
      </c>
      <c r="W83" t="s">
        <v>1</v>
      </c>
      <c r="X83" t="s">
        <v>2</v>
      </c>
      <c r="Y83" t="s">
        <v>4</v>
      </c>
      <c r="Z83" t="s">
        <v>95</v>
      </c>
      <c r="AC83" t="s">
        <v>5</v>
      </c>
      <c r="AD83" t="s">
        <v>1</v>
      </c>
      <c r="AE83" t="s">
        <v>2</v>
      </c>
      <c r="AF83" t="s">
        <v>4</v>
      </c>
      <c r="AG83" t="s">
        <v>95</v>
      </c>
      <c r="AJ83" t="s">
        <v>5</v>
      </c>
      <c r="AK83" t="s">
        <v>1</v>
      </c>
      <c r="AL83" t="s">
        <v>2</v>
      </c>
      <c r="AM83" t="s">
        <v>4</v>
      </c>
      <c r="AN83" t="s">
        <v>95</v>
      </c>
      <c r="AR83">
        <v>11</v>
      </c>
      <c r="AS83">
        <v>10.313479623824449</v>
      </c>
    </row>
    <row r="84" spans="1:45" ht="16" x14ac:dyDescent="0.25">
      <c r="A84" t="s">
        <v>79</v>
      </c>
      <c r="B84">
        <v>1</v>
      </c>
      <c r="C84">
        <v>32.553606237816766</v>
      </c>
      <c r="D84">
        <f>AVERAGE(C84:C95)</f>
        <v>55.647374169852249</v>
      </c>
      <c r="E84" s="4">
        <f>STDEV(C84:C95) /SQRT(COUNT(C84:C95))</f>
        <v>3.4533694390948537</v>
      </c>
      <c r="H84" t="s">
        <v>34</v>
      </c>
      <c r="I84">
        <v>1</v>
      </c>
      <c r="J84">
        <v>-3.1746031746031704</v>
      </c>
      <c r="K84">
        <v>15.467344876692907</v>
      </c>
      <c r="L84" s="4">
        <f>STDEV(J84:J95) /SQRT(COUNT(J84:J95))</f>
        <v>5.3206178335025029</v>
      </c>
      <c r="O84" t="s">
        <v>34</v>
      </c>
      <c r="P84">
        <v>1</v>
      </c>
      <c r="Q84">
        <v>24.019607843137251</v>
      </c>
      <c r="R84">
        <v>13.595198976250806</v>
      </c>
      <c r="S84" s="4">
        <f>STDEV(Q84:Q95) /SQRT(COUNT(Q84:Q95))</f>
        <v>3.3967204942511899</v>
      </c>
      <c r="V84" t="s">
        <v>49</v>
      </c>
      <c r="W84">
        <v>1</v>
      </c>
      <c r="X84">
        <v>34.58694953391192</v>
      </c>
      <c r="Y84">
        <v>69.014440024223049</v>
      </c>
      <c r="Z84" s="4">
        <f>STDEV(X84:X95) /SQRT(COUNT(X84:X95))</f>
        <v>6.3854731442251902</v>
      </c>
      <c r="AC84" t="s">
        <v>49</v>
      </c>
      <c r="AD84">
        <v>1</v>
      </c>
      <c r="AE84">
        <v>11.888111888111887</v>
      </c>
      <c r="AF84">
        <v>40.050226227285727</v>
      </c>
      <c r="AG84" s="4">
        <f>STDEV(AE84:AE95) /SQRT(COUNT(AE84:AE95))</f>
        <v>5.9415117129539112</v>
      </c>
      <c r="AJ84" t="s">
        <v>49</v>
      </c>
      <c r="AK84">
        <v>1</v>
      </c>
      <c r="AL84">
        <v>32.142857142857146</v>
      </c>
      <c r="AM84">
        <v>22.379449254449256</v>
      </c>
      <c r="AN84" s="4">
        <f>STDEV(AL84:AL95) /SQRT(COUNT(AL84:AL95))</f>
        <v>7.7530222743869173</v>
      </c>
      <c r="AR84">
        <v>12</v>
      </c>
      <c r="AS84">
        <v>12.698412698412699</v>
      </c>
    </row>
    <row r="85" spans="1:45" x14ac:dyDescent="0.2">
      <c r="A85" t="s">
        <v>57</v>
      </c>
      <c r="B85">
        <v>2</v>
      </c>
      <c r="C85">
        <v>64.761904761904759</v>
      </c>
      <c r="I85">
        <v>2</v>
      </c>
      <c r="J85">
        <v>15.151515151515149</v>
      </c>
      <c r="P85">
        <v>2</v>
      </c>
      <c r="Q85">
        <v>15.064102564102562</v>
      </c>
      <c r="W85">
        <v>2</v>
      </c>
      <c r="X85">
        <v>40</v>
      </c>
      <c r="AD85">
        <v>2</v>
      </c>
      <c r="AE85">
        <v>61.904761904761912</v>
      </c>
      <c r="AK85">
        <v>2</v>
      </c>
      <c r="AL85">
        <v>25.974025974025974</v>
      </c>
      <c r="AN85"/>
    </row>
    <row r="86" spans="1:45" x14ac:dyDescent="0.2">
      <c r="B86">
        <v>3</v>
      </c>
      <c r="C86">
        <v>51.98863636363636</v>
      </c>
      <c r="I86">
        <v>3</v>
      </c>
      <c r="J86">
        <v>26.890756302521009</v>
      </c>
      <c r="P86">
        <v>3</v>
      </c>
      <c r="Q86">
        <v>5</v>
      </c>
      <c r="W86">
        <v>3</v>
      </c>
      <c r="X86">
        <v>100</v>
      </c>
      <c r="AD86">
        <v>3</v>
      </c>
      <c r="AE86">
        <v>36.956521739130437</v>
      </c>
      <c r="AK86">
        <v>3</v>
      </c>
      <c r="AL86">
        <v>25</v>
      </c>
      <c r="AN86"/>
      <c r="AQ86" s="2" t="s">
        <v>6</v>
      </c>
    </row>
    <row r="87" spans="1:45" x14ac:dyDescent="0.2">
      <c r="B87">
        <v>4</v>
      </c>
      <c r="C87">
        <v>50</v>
      </c>
      <c r="I87">
        <v>4</v>
      </c>
      <c r="J87">
        <v>13.235294117647058</v>
      </c>
      <c r="P87">
        <v>4</v>
      </c>
      <c r="Q87">
        <v>17.142857142857142</v>
      </c>
      <c r="W87">
        <v>4</v>
      </c>
      <c r="X87">
        <v>72.222222222222229</v>
      </c>
      <c r="AD87">
        <v>4</v>
      </c>
      <c r="AE87">
        <v>62.637362637362642</v>
      </c>
      <c r="AK87">
        <v>4</v>
      </c>
      <c r="AL87">
        <v>42.5</v>
      </c>
      <c r="AN87"/>
      <c r="AQ87" s="2" t="s">
        <v>98</v>
      </c>
    </row>
    <row r="88" spans="1:45" x14ac:dyDescent="0.2">
      <c r="B88">
        <v>5</v>
      </c>
      <c r="C88">
        <v>46.666666666666671</v>
      </c>
      <c r="I88">
        <v>5</v>
      </c>
      <c r="J88">
        <v>38.655462184873954</v>
      </c>
      <c r="P88">
        <v>5</v>
      </c>
      <c r="Q88">
        <v>17.857142857142854</v>
      </c>
      <c r="W88">
        <v>5</v>
      </c>
      <c r="X88">
        <v>100</v>
      </c>
      <c r="AD88">
        <v>5</v>
      </c>
      <c r="AE88">
        <v>26.388888888888886</v>
      </c>
      <c r="AK88">
        <v>5</v>
      </c>
      <c r="AL88">
        <v>0</v>
      </c>
      <c r="AN88"/>
      <c r="AQ88" s="2" t="s">
        <v>62</v>
      </c>
    </row>
    <row r="89" spans="1:45" x14ac:dyDescent="0.2">
      <c r="B89">
        <v>6</v>
      </c>
      <c r="C89">
        <v>60.714285714285715</v>
      </c>
      <c r="I89">
        <v>6</v>
      </c>
      <c r="J89">
        <v>34.860883797054008</v>
      </c>
      <c r="P89">
        <v>6</v>
      </c>
      <c r="Q89">
        <v>17.894736842105264</v>
      </c>
      <c r="W89">
        <v>6</v>
      </c>
      <c r="X89">
        <v>75</v>
      </c>
      <c r="AD89">
        <v>6</v>
      </c>
      <c r="AE89">
        <v>45.238095238095241</v>
      </c>
      <c r="AK89">
        <v>6</v>
      </c>
      <c r="AL89">
        <v>60</v>
      </c>
      <c r="AN89"/>
      <c r="AQ89" s="2" t="s">
        <v>63</v>
      </c>
    </row>
    <row r="90" spans="1:45" x14ac:dyDescent="0.2">
      <c r="B90">
        <v>7</v>
      </c>
      <c r="C90">
        <v>50</v>
      </c>
      <c r="I90">
        <v>7</v>
      </c>
      <c r="J90">
        <v>38.545454545454547</v>
      </c>
      <c r="P90">
        <v>7</v>
      </c>
      <c r="Q90">
        <v>35</v>
      </c>
      <c r="W90">
        <v>7</v>
      </c>
      <c r="X90">
        <v>64.058956916099774</v>
      </c>
      <c r="AD90">
        <v>7</v>
      </c>
      <c r="AE90">
        <v>42.857142857142854</v>
      </c>
      <c r="AK90">
        <v>7</v>
      </c>
      <c r="AL90">
        <v>35.714285714285715</v>
      </c>
      <c r="AN90"/>
      <c r="AQ90" s="2" t="s">
        <v>64</v>
      </c>
    </row>
    <row r="91" spans="1:45" x14ac:dyDescent="0.2">
      <c r="B91">
        <v>8</v>
      </c>
      <c r="C91">
        <v>69.047619047619051</v>
      </c>
      <c r="I91">
        <v>8</v>
      </c>
      <c r="J91">
        <v>-4.4891640866873086</v>
      </c>
      <c r="P91">
        <v>8</v>
      </c>
      <c r="Q91">
        <v>5.2884615384615383</v>
      </c>
      <c r="W91">
        <v>8</v>
      </c>
      <c r="X91">
        <v>86.594594594594597</v>
      </c>
      <c r="AD91">
        <v>8</v>
      </c>
      <c r="AE91">
        <v>-5.7142857142857144</v>
      </c>
      <c r="AK91">
        <v>8</v>
      </c>
      <c r="AL91">
        <v>66.666666666666671</v>
      </c>
      <c r="AN91"/>
      <c r="AQ91" s="2" t="s">
        <v>65</v>
      </c>
    </row>
    <row r="92" spans="1:45" x14ac:dyDescent="0.2">
      <c r="B92">
        <v>9</v>
      </c>
      <c r="C92">
        <v>50.606060606060609</v>
      </c>
      <c r="I92">
        <v>9</v>
      </c>
      <c r="J92">
        <v>18.154761904761905</v>
      </c>
      <c r="P92">
        <v>9</v>
      </c>
      <c r="Q92">
        <v>17.931034482758619</v>
      </c>
      <c r="W92">
        <v>9</v>
      </c>
      <c r="X92">
        <v>39.63607594936709</v>
      </c>
      <c r="AD92">
        <v>9</v>
      </c>
      <c r="AE92">
        <v>45</v>
      </c>
      <c r="AK92">
        <v>9</v>
      </c>
      <c r="AL92">
        <v>-2.7777777777777786</v>
      </c>
      <c r="AN92"/>
      <c r="AQ92" s="2" t="s">
        <v>66</v>
      </c>
    </row>
    <row r="93" spans="1:45" x14ac:dyDescent="0.2">
      <c r="B93">
        <v>10</v>
      </c>
      <c r="C93">
        <v>55.13784461152882</v>
      </c>
      <c r="I93">
        <v>10</v>
      </c>
      <c r="J93">
        <v>-20</v>
      </c>
      <c r="P93">
        <v>10</v>
      </c>
      <c r="Q93">
        <v>10.166666666666668</v>
      </c>
      <c r="W93">
        <v>10</v>
      </c>
      <c r="X93">
        <v>73.931623931623932</v>
      </c>
      <c r="AD93">
        <v>10</v>
      </c>
      <c r="AE93">
        <v>52.38095238095238</v>
      </c>
      <c r="AK93">
        <v>10</v>
      </c>
      <c r="AL93">
        <v>10</v>
      </c>
      <c r="AN93"/>
      <c r="AQ93" s="2" t="s">
        <v>67</v>
      </c>
    </row>
    <row r="94" spans="1:45" x14ac:dyDescent="0.2">
      <c r="B94">
        <v>11</v>
      </c>
      <c r="C94">
        <v>56.818181818181813</v>
      </c>
      <c r="I94">
        <v>11</v>
      </c>
      <c r="J94">
        <v>22.222222222222221</v>
      </c>
      <c r="P94">
        <v>11</v>
      </c>
      <c r="Q94">
        <v>11.111111111111107</v>
      </c>
      <c r="W94">
        <v>11</v>
      </c>
      <c r="X94">
        <v>62.142857142857146</v>
      </c>
      <c r="AD94">
        <v>11</v>
      </c>
      <c r="AE94">
        <v>59.398496240601503</v>
      </c>
      <c r="AK94">
        <v>11</v>
      </c>
      <c r="AL94">
        <v>-10</v>
      </c>
      <c r="AN94"/>
      <c r="AQ94" s="2" t="s">
        <v>68</v>
      </c>
    </row>
    <row r="95" spans="1:45" x14ac:dyDescent="0.2">
      <c r="B95">
        <v>12</v>
      </c>
      <c r="C95">
        <v>79.473684210526315</v>
      </c>
      <c r="I95">
        <v>12</v>
      </c>
      <c r="J95">
        <v>5.5555555555555554</v>
      </c>
      <c r="P95">
        <v>12</v>
      </c>
      <c r="Q95">
        <v>-13.333333333333332</v>
      </c>
      <c r="W95">
        <v>12</v>
      </c>
      <c r="X95">
        <v>80</v>
      </c>
      <c r="AD95">
        <v>12</v>
      </c>
      <c r="AE95">
        <v>41.666666666666671</v>
      </c>
      <c r="AK95">
        <v>12</v>
      </c>
      <c r="AL95">
        <v>-16.666666666666668</v>
      </c>
      <c r="AN95"/>
      <c r="AQ95" s="2" t="s">
        <v>69</v>
      </c>
    </row>
    <row r="96" spans="1:45" x14ac:dyDescent="0.2">
      <c r="AN96"/>
      <c r="AQ96" s="2" t="s">
        <v>70</v>
      </c>
    </row>
    <row r="97" spans="1:43" x14ac:dyDescent="0.2">
      <c r="A97" t="s">
        <v>61</v>
      </c>
      <c r="B97" t="s">
        <v>1</v>
      </c>
      <c r="C97" t="s">
        <v>2</v>
      </c>
      <c r="D97" t="s">
        <v>4</v>
      </c>
      <c r="E97" t="s">
        <v>95</v>
      </c>
      <c r="H97" s="2" t="s">
        <v>6</v>
      </c>
      <c r="O97" s="2" t="s">
        <v>6</v>
      </c>
      <c r="V97" s="2" t="s">
        <v>6</v>
      </c>
      <c r="AC97" s="2" t="s">
        <v>6</v>
      </c>
      <c r="AJ97" s="2" t="s">
        <v>6</v>
      </c>
      <c r="AN97"/>
      <c r="AQ97" s="2" t="s">
        <v>71</v>
      </c>
    </row>
    <row r="98" spans="1:43" ht="16" x14ac:dyDescent="0.25">
      <c r="A98" t="s">
        <v>32</v>
      </c>
      <c r="B98">
        <v>1</v>
      </c>
      <c r="C98">
        <v>27.06766917293233</v>
      </c>
      <c r="D98">
        <f>AVERAGE(C98:C109)</f>
        <v>52.006503748425466</v>
      </c>
      <c r="E98" s="4">
        <f>STDEV(C98:C109) /SQRT(COUNT(C98:C109))</f>
        <v>4.8801924972395465</v>
      </c>
      <c r="H98" s="2" t="s">
        <v>18</v>
      </c>
      <c r="O98" s="2" t="s">
        <v>18</v>
      </c>
      <c r="V98" s="2" t="s">
        <v>7</v>
      </c>
      <c r="AC98" s="2" t="s">
        <v>19</v>
      </c>
      <c r="AJ98" s="2" t="s">
        <v>18</v>
      </c>
      <c r="AN98"/>
      <c r="AQ98" s="2" t="s">
        <v>72</v>
      </c>
    </row>
    <row r="99" spans="1:43" x14ac:dyDescent="0.2">
      <c r="A99" t="s">
        <v>60</v>
      </c>
      <c r="B99">
        <v>2</v>
      </c>
      <c r="C99">
        <v>30.76923076923077</v>
      </c>
      <c r="H99" s="2" t="s">
        <v>205</v>
      </c>
      <c r="O99" s="2" t="s">
        <v>208</v>
      </c>
      <c r="V99" s="2" t="s">
        <v>211</v>
      </c>
      <c r="AC99" s="2" t="s">
        <v>214</v>
      </c>
      <c r="AJ99" s="2" t="s">
        <v>217</v>
      </c>
      <c r="AN99"/>
      <c r="AQ99" s="2" t="s">
        <v>73</v>
      </c>
    </row>
    <row r="100" spans="1:43" x14ac:dyDescent="0.2">
      <c r="B100">
        <v>3</v>
      </c>
      <c r="C100">
        <v>57.857142857142854</v>
      </c>
      <c r="H100" s="2" t="s">
        <v>206</v>
      </c>
      <c r="O100" s="2" t="s">
        <v>209</v>
      </c>
      <c r="V100" s="2" t="s">
        <v>212</v>
      </c>
      <c r="AC100" s="2" t="s">
        <v>215</v>
      </c>
      <c r="AJ100" s="2" t="s">
        <v>218</v>
      </c>
      <c r="AN100"/>
      <c r="AQ100" s="2" t="s">
        <v>74</v>
      </c>
    </row>
    <row r="101" spans="1:43" x14ac:dyDescent="0.2">
      <c r="B101">
        <v>4</v>
      </c>
      <c r="C101">
        <v>37.413793103448278</v>
      </c>
      <c r="H101" s="2" t="s">
        <v>207</v>
      </c>
      <c r="O101" s="2" t="s">
        <v>210</v>
      </c>
      <c r="V101" s="2" t="s">
        <v>213</v>
      </c>
      <c r="AC101" s="2" t="s">
        <v>216</v>
      </c>
      <c r="AJ101" s="3" t="s">
        <v>219</v>
      </c>
      <c r="AN101"/>
      <c r="AQ101" s="2" t="s">
        <v>75</v>
      </c>
    </row>
    <row r="102" spans="1:43" x14ac:dyDescent="0.2">
      <c r="B102">
        <v>5</v>
      </c>
      <c r="C102">
        <v>60.588235294117652</v>
      </c>
      <c r="H102" s="2" t="s">
        <v>37</v>
      </c>
      <c r="O102" s="2" t="s">
        <v>37</v>
      </c>
      <c r="V102" s="2" t="s">
        <v>37</v>
      </c>
      <c r="AC102" s="2" t="s">
        <v>37</v>
      </c>
      <c r="AJ102" s="2" t="s">
        <v>37</v>
      </c>
      <c r="AN102"/>
      <c r="AQ102" s="2" t="s">
        <v>76</v>
      </c>
    </row>
    <row r="103" spans="1:43" x14ac:dyDescent="0.2">
      <c r="B103">
        <v>6</v>
      </c>
      <c r="C103">
        <v>65</v>
      </c>
      <c r="H103" s="2" t="s">
        <v>38</v>
      </c>
      <c r="O103" s="2" t="s">
        <v>38</v>
      </c>
      <c r="V103" s="2" t="s">
        <v>38</v>
      </c>
      <c r="AC103" s="2" t="s">
        <v>38</v>
      </c>
      <c r="AJ103" s="2" t="s">
        <v>38</v>
      </c>
      <c r="AN103"/>
      <c r="AQ103" s="2" t="s">
        <v>37</v>
      </c>
    </row>
    <row r="104" spans="1:43" x14ac:dyDescent="0.2">
      <c r="B104">
        <v>7</v>
      </c>
      <c r="C104">
        <v>66.666666666666657</v>
      </c>
      <c r="H104" s="3" t="s">
        <v>13</v>
      </c>
      <c r="O104" s="2" t="s">
        <v>13</v>
      </c>
      <c r="V104" s="2" t="s">
        <v>13</v>
      </c>
      <c r="AC104" s="2" t="s">
        <v>13</v>
      </c>
      <c r="AJ104" s="3" t="s">
        <v>13</v>
      </c>
      <c r="AN104"/>
      <c r="AQ104" s="2" t="s">
        <v>38</v>
      </c>
    </row>
    <row r="105" spans="1:43" x14ac:dyDescent="0.2">
      <c r="B105">
        <v>8</v>
      </c>
      <c r="C105">
        <v>40.210526315789473</v>
      </c>
      <c r="AN105"/>
      <c r="AQ105" s="3" t="s">
        <v>13</v>
      </c>
    </row>
    <row r="106" spans="1:43" x14ac:dyDescent="0.2">
      <c r="B106">
        <v>9</v>
      </c>
      <c r="C106">
        <v>48.835041938490214</v>
      </c>
      <c r="H106" s="2"/>
      <c r="AN106"/>
    </row>
    <row r="107" spans="1:43" x14ac:dyDescent="0.2">
      <c r="B107">
        <v>10</v>
      </c>
      <c r="C107">
        <v>85.714285714285722</v>
      </c>
      <c r="H107" s="8"/>
      <c r="I107" s="1"/>
      <c r="J107" s="1"/>
      <c r="K107" s="1"/>
      <c r="L107" s="1"/>
      <c r="M107" s="1"/>
      <c r="AN107"/>
    </row>
    <row r="108" spans="1:43" x14ac:dyDescent="0.2">
      <c r="B108">
        <v>11</v>
      </c>
      <c r="C108">
        <v>45.622119815668199</v>
      </c>
      <c r="H108" t="s">
        <v>483</v>
      </c>
      <c r="J108" t="s">
        <v>391</v>
      </c>
      <c r="AN108"/>
    </row>
    <row r="109" spans="1:43" x14ac:dyDescent="0.2">
      <c r="B109">
        <v>12</v>
      </c>
      <c r="C109">
        <v>58.333333333333336</v>
      </c>
      <c r="H109" t="s">
        <v>61</v>
      </c>
      <c r="I109" t="s">
        <v>1</v>
      </c>
      <c r="J109" t="s">
        <v>2</v>
      </c>
      <c r="K109" t="s">
        <v>4</v>
      </c>
      <c r="L109" t="s">
        <v>95</v>
      </c>
      <c r="AN109"/>
    </row>
    <row r="110" spans="1:43" ht="16" x14ac:dyDescent="0.25">
      <c r="H110" t="s">
        <v>32</v>
      </c>
      <c r="I110">
        <v>1</v>
      </c>
      <c r="J110">
        <v>80</v>
      </c>
      <c r="K110">
        <v>59.499228841334109</v>
      </c>
      <c r="L110" s="4">
        <f>STDEV(J110:J121) /SQRT(COUNT(J110:J121))</f>
        <v>4.2339434931526787</v>
      </c>
      <c r="AN110"/>
    </row>
    <row r="111" spans="1:43" x14ac:dyDescent="0.2">
      <c r="A111" t="s">
        <v>3</v>
      </c>
      <c r="B111" t="s">
        <v>1</v>
      </c>
      <c r="C111" t="s">
        <v>2</v>
      </c>
      <c r="D111" t="s">
        <v>4</v>
      </c>
      <c r="E111" t="s">
        <v>95</v>
      </c>
      <c r="I111">
        <v>2</v>
      </c>
      <c r="J111">
        <v>83.333333333333343</v>
      </c>
      <c r="AN111"/>
    </row>
    <row r="112" spans="1:43" ht="16" x14ac:dyDescent="0.25">
      <c r="A112" t="s">
        <v>78</v>
      </c>
      <c r="B112">
        <v>1</v>
      </c>
      <c r="C112">
        <v>43.137254901960787</v>
      </c>
      <c r="D112">
        <f>AVERAGE(C112:C123)</f>
        <v>63.803386257958032</v>
      </c>
      <c r="E112" s="4">
        <f>STDEV(C112:C123) /SQRT(COUNT(C112:C123))</f>
        <v>4.3401235286800848</v>
      </c>
      <c r="I112">
        <v>3</v>
      </c>
      <c r="J112">
        <v>55</v>
      </c>
      <c r="S112" s="4"/>
      <c r="AN112"/>
    </row>
    <row r="113" spans="1:40" x14ac:dyDescent="0.2">
      <c r="A113" t="s">
        <v>60</v>
      </c>
      <c r="B113">
        <v>2</v>
      </c>
      <c r="C113">
        <v>60.317460317460316</v>
      </c>
      <c r="I113">
        <v>4</v>
      </c>
      <c r="J113">
        <v>70</v>
      </c>
      <c r="AN113"/>
    </row>
    <row r="114" spans="1:40" x14ac:dyDescent="0.2">
      <c r="B114">
        <v>3</v>
      </c>
      <c r="C114">
        <v>79.128856624319411</v>
      </c>
      <c r="I114">
        <v>5</v>
      </c>
      <c r="J114">
        <v>52.777777777777779</v>
      </c>
      <c r="AN114"/>
    </row>
    <row r="115" spans="1:40" x14ac:dyDescent="0.2">
      <c r="B115">
        <v>4</v>
      </c>
      <c r="C115">
        <v>94.444444444444443</v>
      </c>
      <c r="I115">
        <v>6</v>
      </c>
      <c r="J115">
        <v>75</v>
      </c>
      <c r="AN115"/>
    </row>
    <row r="116" spans="1:40" x14ac:dyDescent="0.2">
      <c r="B116">
        <v>5</v>
      </c>
      <c r="C116">
        <v>66.081871345029242</v>
      </c>
      <c r="I116">
        <v>7</v>
      </c>
      <c r="J116">
        <v>38.095238095238095</v>
      </c>
      <c r="AN116"/>
    </row>
    <row r="117" spans="1:40" x14ac:dyDescent="0.2">
      <c r="B117">
        <v>6</v>
      </c>
      <c r="C117">
        <v>84.73684210526315</v>
      </c>
      <c r="I117">
        <v>8</v>
      </c>
      <c r="J117">
        <v>45.555555555555557</v>
      </c>
      <c r="AN117"/>
    </row>
    <row r="118" spans="1:40" x14ac:dyDescent="0.2">
      <c r="B118">
        <v>7</v>
      </c>
      <c r="C118">
        <v>58.74125874125874</v>
      </c>
      <c r="I118">
        <v>9</v>
      </c>
      <c r="J118">
        <v>46.666666666666671</v>
      </c>
      <c r="AN118"/>
    </row>
    <row r="119" spans="1:40" x14ac:dyDescent="0.2">
      <c r="B119">
        <v>8</v>
      </c>
      <c r="C119">
        <v>52.173913043478258</v>
      </c>
      <c r="I119">
        <v>10</v>
      </c>
      <c r="J119">
        <v>51.428571428571431</v>
      </c>
      <c r="AN119"/>
    </row>
    <row r="120" spans="1:40" x14ac:dyDescent="0.2">
      <c r="B120">
        <v>9</v>
      </c>
      <c r="C120">
        <v>59.378733572281959</v>
      </c>
      <c r="I120">
        <v>11</v>
      </c>
      <c r="J120">
        <v>64.21052631578948</v>
      </c>
      <c r="AN120"/>
    </row>
    <row r="121" spans="1:40" x14ac:dyDescent="0.2">
      <c r="B121">
        <v>10</v>
      </c>
      <c r="C121">
        <v>54.166666666666671</v>
      </c>
      <c r="I121">
        <v>12</v>
      </c>
      <c r="J121">
        <v>51.92307692307692</v>
      </c>
      <c r="AN121"/>
    </row>
    <row r="122" spans="1:40" x14ac:dyDescent="0.2">
      <c r="B122">
        <v>11</v>
      </c>
      <c r="C122">
        <v>51.428571428571431</v>
      </c>
      <c r="AN122"/>
    </row>
    <row r="123" spans="1:40" x14ac:dyDescent="0.2">
      <c r="B123">
        <v>12</v>
      </c>
      <c r="C123">
        <v>61.904761904761912</v>
      </c>
      <c r="H123" t="s">
        <v>3</v>
      </c>
      <c r="I123" t="s">
        <v>1</v>
      </c>
      <c r="J123" t="s">
        <v>2</v>
      </c>
      <c r="K123" t="s">
        <v>4</v>
      </c>
      <c r="L123" t="s">
        <v>95</v>
      </c>
      <c r="AN123"/>
    </row>
    <row r="124" spans="1:40" ht="16" x14ac:dyDescent="0.25">
      <c r="H124" t="s">
        <v>48</v>
      </c>
      <c r="I124">
        <v>1</v>
      </c>
      <c r="J124">
        <v>54.761904761904759</v>
      </c>
      <c r="K124">
        <v>55.857300379359202</v>
      </c>
      <c r="L124" s="4">
        <f>STDEV(J124:J135) /SQRT(COUNT(J124:J135))</f>
        <v>3.9939725946756175</v>
      </c>
      <c r="AN124"/>
    </row>
    <row r="125" spans="1:40" x14ac:dyDescent="0.2">
      <c r="A125" t="s">
        <v>5</v>
      </c>
      <c r="B125" t="s">
        <v>1</v>
      </c>
      <c r="C125" t="s">
        <v>2</v>
      </c>
      <c r="D125" t="s">
        <v>4</v>
      </c>
      <c r="E125" t="s">
        <v>95</v>
      </c>
      <c r="I125">
        <v>2</v>
      </c>
      <c r="J125">
        <v>37.777777777777779</v>
      </c>
      <c r="AN125"/>
    </row>
    <row r="126" spans="1:40" ht="16" x14ac:dyDescent="0.25">
      <c r="A126" t="s">
        <v>79</v>
      </c>
      <c r="B126">
        <v>1</v>
      </c>
      <c r="C126">
        <v>56.875631951466126</v>
      </c>
      <c r="D126">
        <f>AVERAGE(C126:C137)</f>
        <v>36.431607427734626</v>
      </c>
      <c r="E126" s="4">
        <f>STDEV(C126:C137) /SQRT(COUNT(C126:C137))</f>
        <v>6.6079830980236016</v>
      </c>
      <c r="I126">
        <v>3</v>
      </c>
      <c r="J126">
        <v>35.227272727272727</v>
      </c>
      <c r="S126" s="4"/>
      <c r="AN126"/>
    </row>
    <row r="127" spans="1:40" x14ac:dyDescent="0.2">
      <c r="A127" t="s">
        <v>60</v>
      </c>
      <c r="B127">
        <v>2</v>
      </c>
      <c r="C127">
        <v>50</v>
      </c>
      <c r="I127">
        <v>4</v>
      </c>
      <c r="J127">
        <v>31.428571428571427</v>
      </c>
      <c r="AN127"/>
    </row>
    <row r="128" spans="1:40" x14ac:dyDescent="0.2">
      <c r="B128">
        <v>3</v>
      </c>
      <c r="C128">
        <v>51.470588235294116</v>
      </c>
      <c r="I128">
        <v>5</v>
      </c>
      <c r="J128">
        <v>66.666666666666671</v>
      </c>
      <c r="AN128"/>
    </row>
    <row r="129" spans="1:40" x14ac:dyDescent="0.2">
      <c r="B129">
        <v>4</v>
      </c>
      <c r="C129">
        <v>53.070175438596493</v>
      </c>
      <c r="I129">
        <v>6</v>
      </c>
      <c r="J129">
        <v>66.666666666666671</v>
      </c>
      <c r="AN129"/>
    </row>
    <row r="130" spans="1:40" x14ac:dyDescent="0.2">
      <c r="B130">
        <v>5</v>
      </c>
      <c r="C130">
        <v>80.416666666666657</v>
      </c>
      <c r="I130">
        <v>7</v>
      </c>
      <c r="J130">
        <v>65.714285714285722</v>
      </c>
      <c r="AN130"/>
    </row>
    <row r="131" spans="1:40" x14ac:dyDescent="0.2">
      <c r="B131">
        <v>6</v>
      </c>
      <c r="C131">
        <v>36.30952380952381</v>
      </c>
      <c r="I131">
        <v>8</v>
      </c>
      <c r="J131">
        <v>71.428571428571431</v>
      </c>
      <c r="AN131"/>
    </row>
    <row r="132" spans="1:40" x14ac:dyDescent="0.2">
      <c r="B132">
        <v>7</v>
      </c>
      <c r="C132">
        <v>28.888888888888886</v>
      </c>
      <c r="I132">
        <v>9</v>
      </c>
      <c r="J132">
        <v>58.333333333333336</v>
      </c>
      <c r="AN132"/>
    </row>
    <row r="133" spans="1:40" x14ac:dyDescent="0.2">
      <c r="B133">
        <v>8</v>
      </c>
      <c r="C133">
        <v>5.7142857142857153</v>
      </c>
      <c r="I133">
        <v>10</v>
      </c>
      <c r="J133">
        <v>67.777777777777771</v>
      </c>
      <c r="AN133"/>
    </row>
    <row r="134" spans="1:40" x14ac:dyDescent="0.2">
      <c r="B134">
        <v>9</v>
      </c>
      <c r="C134">
        <v>6.0200668896321066</v>
      </c>
      <c r="I134">
        <v>11</v>
      </c>
      <c r="J134">
        <v>53.393665158371036</v>
      </c>
      <c r="AN134"/>
    </row>
    <row r="135" spans="1:40" x14ac:dyDescent="0.2">
      <c r="B135">
        <v>10</v>
      </c>
      <c r="C135">
        <v>12.5</v>
      </c>
      <c r="I135">
        <v>12</v>
      </c>
      <c r="J135">
        <v>61.111111111111114</v>
      </c>
      <c r="AN135"/>
    </row>
    <row r="136" spans="1:40" x14ac:dyDescent="0.2">
      <c r="B136">
        <v>11</v>
      </c>
      <c r="C136">
        <v>34.375</v>
      </c>
      <c r="AN136"/>
    </row>
    <row r="137" spans="1:40" x14ac:dyDescent="0.2">
      <c r="B137">
        <v>12</v>
      </c>
      <c r="C137">
        <v>21.53846153846154</v>
      </c>
      <c r="H137" t="s">
        <v>5</v>
      </c>
      <c r="I137" t="s">
        <v>1</v>
      </c>
      <c r="J137" t="s">
        <v>2</v>
      </c>
      <c r="K137" t="s">
        <v>4</v>
      </c>
      <c r="L137" t="s">
        <v>95</v>
      </c>
      <c r="AN137"/>
    </row>
    <row r="138" spans="1:40" ht="16" x14ac:dyDescent="0.25">
      <c r="H138" t="s">
        <v>49</v>
      </c>
      <c r="I138">
        <v>1</v>
      </c>
      <c r="J138">
        <v>-5.5555555555555554</v>
      </c>
      <c r="K138">
        <v>5.6576113097852216</v>
      </c>
      <c r="L138" s="4">
        <f>STDEV(J138:J149) /SQRT(COUNT(J138:J149))</f>
        <v>8.1254980713509628</v>
      </c>
      <c r="AN138"/>
    </row>
    <row r="139" spans="1:40" x14ac:dyDescent="0.2">
      <c r="A139" s="2" t="s">
        <v>6</v>
      </c>
      <c r="I139">
        <v>2</v>
      </c>
      <c r="J139">
        <v>-15</v>
      </c>
      <c r="O139" s="2"/>
      <c r="AN139"/>
    </row>
    <row r="140" spans="1:40" x14ac:dyDescent="0.2">
      <c r="A140" s="2" t="s">
        <v>98</v>
      </c>
      <c r="I140">
        <v>3</v>
      </c>
      <c r="J140">
        <v>63.333333333333336</v>
      </c>
      <c r="O140" s="2"/>
      <c r="AN140"/>
    </row>
    <row r="141" spans="1:40" x14ac:dyDescent="0.2">
      <c r="A141" s="2" t="s">
        <v>80</v>
      </c>
      <c r="I141">
        <v>4</v>
      </c>
      <c r="J141">
        <v>0</v>
      </c>
      <c r="O141" s="2"/>
      <c r="AN141"/>
    </row>
    <row r="142" spans="1:40" x14ac:dyDescent="0.2">
      <c r="A142" s="2" t="s">
        <v>81</v>
      </c>
      <c r="I142">
        <v>5</v>
      </c>
      <c r="J142">
        <v>40</v>
      </c>
      <c r="O142" s="2"/>
      <c r="AN142"/>
    </row>
    <row r="143" spans="1:40" x14ac:dyDescent="0.2">
      <c r="A143" s="2" t="s">
        <v>82</v>
      </c>
      <c r="I143">
        <v>6</v>
      </c>
      <c r="J143">
        <v>-50</v>
      </c>
      <c r="O143" s="2"/>
      <c r="AN143"/>
    </row>
    <row r="144" spans="1:40" x14ac:dyDescent="0.2">
      <c r="A144" s="2" t="s">
        <v>83</v>
      </c>
      <c r="I144">
        <v>7</v>
      </c>
      <c r="J144">
        <v>0</v>
      </c>
      <c r="O144" s="2"/>
      <c r="AN144"/>
    </row>
    <row r="145" spans="1:40" x14ac:dyDescent="0.2">
      <c r="A145" s="2" t="s">
        <v>84</v>
      </c>
      <c r="I145">
        <v>8</v>
      </c>
      <c r="J145">
        <v>6.8181818181818166</v>
      </c>
      <c r="O145" s="2"/>
      <c r="AN145"/>
    </row>
    <row r="146" spans="1:40" x14ac:dyDescent="0.2">
      <c r="A146" s="2" t="s">
        <v>85</v>
      </c>
      <c r="I146">
        <v>9</v>
      </c>
      <c r="J146">
        <v>-7.1428571428571432</v>
      </c>
      <c r="O146" s="2"/>
      <c r="AN146"/>
    </row>
    <row r="147" spans="1:40" x14ac:dyDescent="0.2">
      <c r="A147" s="2" t="s">
        <v>86</v>
      </c>
      <c r="I147">
        <v>10</v>
      </c>
      <c r="J147">
        <v>0</v>
      </c>
      <c r="O147" s="2"/>
      <c r="AN147"/>
    </row>
    <row r="148" spans="1:40" x14ac:dyDescent="0.2">
      <c r="A148" s="2" t="s">
        <v>87</v>
      </c>
      <c r="I148">
        <v>11</v>
      </c>
      <c r="J148">
        <v>19.565217391304348</v>
      </c>
      <c r="O148" s="2"/>
      <c r="AN148"/>
    </row>
    <row r="149" spans="1:40" x14ac:dyDescent="0.2">
      <c r="A149" s="2" t="s">
        <v>88</v>
      </c>
      <c r="I149">
        <v>12</v>
      </c>
      <c r="J149">
        <v>15.873015873015872</v>
      </c>
      <c r="O149" s="2"/>
      <c r="AN149"/>
    </row>
    <row r="150" spans="1:40" x14ac:dyDescent="0.2">
      <c r="A150" s="2" t="s">
        <v>89</v>
      </c>
      <c r="O150" s="2"/>
      <c r="AN150"/>
    </row>
    <row r="151" spans="1:40" x14ac:dyDescent="0.2">
      <c r="A151" s="2" t="s">
        <v>90</v>
      </c>
      <c r="H151" s="2" t="s">
        <v>6</v>
      </c>
      <c r="O151" s="2"/>
      <c r="AN151"/>
    </row>
    <row r="152" spans="1:40" x14ac:dyDescent="0.2">
      <c r="A152" s="2" t="s">
        <v>91</v>
      </c>
      <c r="H152" s="2" t="s">
        <v>18</v>
      </c>
      <c r="O152" s="2"/>
      <c r="AN152"/>
    </row>
    <row r="153" spans="1:40" x14ac:dyDescent="0.2">
      <c r="A153" s="2" t="s">
        <v>92</v>
      </c>
      <c r="H153" s="2" t="s">
        <v>220</v>
      </c>
      <c r="O153" s="2"/>
      <c r="AN153"/>
    </row>
    <row r="154" spans="1:40" x14ac:dyDescent="0.2">
      <c r="A154" s="2" t="s">
        <v>93</v>
      </c>
      <c r="H154" s="2" t="s">
        <v>221</v>
      </c>
      <c r="O154" s="2"/>
      <c r="AN154"/>
    </row>
    <row r="155" spans="1:40" x14ac:dyDescent="0.2">
      <c r="A155" s="2" t="s">
        <v>94</v>
      </c>
      <c r="H155" s="2" t="s">
        <v>222</v>
      </c>
      <c r="O155" s="2"/>
      <c r="AN155"/>
    </row>
    <row r="156" spans="1:40" x14ac:dyDescent="0.2">
      <c r="A156" s="2" t="s">
        <v>37</v>
      </c>
      <c r="H156" s="2" t="s">
        <v>37</v>
      </c>
      <c r="O156" s="2"/>
      <c r="AN156"/>
    </row>
    <row r="157" spans="1:40" x14ac:dyDescent="0.2">
      <c r="A157" s="2" t="s">
        <v>38</v>
      </c>
      <c r="H157" s="2" t="s">
        <v>38</v>
      </c>
      <c r="O157" s="2"/>
      <c r="AN157"/>
    </row>
    <row r="158" spans="1:40" x14ac:dyDescent="0.2">
      <c r="A158" s="3" t="s">
        <v>13</v>
      </c>
      <c r="H158" s="3" t="s">
        <v>13</v>
      </c>
      <c r="O158" s="3"/>
      <c r="AN158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695F-C03B-4E3A-939B-A0B8A1C51291}">
  <dimension ref="A1:CX175"/>
  <sheetViews>
    <sheetView topLeftCell="A97" workbookViewId="0">
      <selection activeCell="A108" sqref="A108"/>
    </sheetView>
  </sheetViews>
  <sheetFormatPr baseColWidth="10" defaultColWidth="11.5" defaultRowHeight="15" x14ac:dyDescent="0.2"/>
  <cols>
    <col min="7" max="7" width="11.5" style="1"/>
    <col min="8" max="9" width="12" bestFit="1" customWidth="1"/>
    <col min="10" max="10" width="12.33203125" bestFit="1" customWidth="1"/>
    <col min="13" max="13" width="12" bestFit="1" customWidth="1"/>
    <col min="14" max="14" width="12.33203125" bestFit="1" customWidth="1"/>
    <col min="21" max="21" width="11.5" style="1"/>
    <col min="28" max="28" width="11.5" style="1"/>
  </cols>
  <sheetData>
    <row r="1" spans="1:33" x14ac:dyDescent="0.2">
      <c r="A1" t="s">
        <v>230</v>
      </c>
      <c r="C1" t="s">
        <v>390</v>
      </c>
      <c r="H1" t="s">
        <v>231</v>
      </c>
      <c r="J1" t="s">
        <v>391</v>
      </c>
      <c r="N1" s="1"/>
      <c r="O1" t="s">
        <v>232</v>
      </c>
      <c r="Q1" t="s">
        <v>391</v>
      </c>
      <c r="V1" t="s">
        <v>280</v>
      </c>
      <c r="X1" t="s">
        <v>391</v>
      </c>
      <c r="AC1" t="s">
        <v>296</v>
      </c>
      <c r="AE1" t="s">
        <v>391</v>
      </c>
    </row>
    <row r="2" spans="1:33" x14ac:dyDescent="0.2">
      <c r="A2" t="s">
        <v>61</v>
      </c>
      <c r="B2" t="s">
        <v>1</v>
      </c>
      <c r="C2" t="s">
        <v>2</v>
      </c>
      <c r="D2" t="s">
        <v>4</v>
      </c>
      <c r="E2" t="s">
        <v>95</v>
      </c>
      <c r="H2" t="s">
        <v>61</v>
      </c>
      <c r="I2" t="s">
        <v>1</v>
      </c>
      <c r="J2" t="s">
        <v>2</v>
      </c>
      <c r="K2" t="s">
        <v>4</v>
      </c>
      <c r="L2" t="s">
        <v>95</v>
      </c>
      <c r="N2" s="1"/>
      <c r="O2" t="s">
        <v>61</v>
      </c>
      <c r="P2" t="s">
        <v>1</v>
      </c>
      <c r="Q2" t="s">
        <v>2</v>
      </c>
      <c r="R2" t="s">
        <v>4</v>
      </c>
      <c r="S2" t="s">
        <v>95</v>
      </c>
      <c r="V2" t="s">
        <v>488</v>
      </c>
      <c r="AC2" t="s">
        <v>491</v>
      </c>
    </row>
    <row r="3" spans="1:33" ht="16" x14ac:dyDescent="0.25">
      <c r="A3" t="s">
        <v>32</v>
      </c>
      <c r="B3">
        <v>1</v>
      </c>
      <c r="C3">
        <v>72.829131652661061</v>
      </c>
      <c r="D3">
        <v>74.147060667949575</v>
      </c>
      <c r="E3" s="4">
        <f>STDEV(C3:C14) /SQRT(COUNT(C3:C14))</f>
        <v>1.6183634691484226</v>
      </c>
      <c r="H3" t="s">
        <v>32</v>
      </c>
      <c r="I3">
        <v>1</v>
      </c>
      <c r="J3">
        <v>65.641025641025635</v>
      </c>
      <c r="K3">
        <v>72.712842155125671</v>
      </c>
      <c r="L3" s="4">
        <f>STDEV(J3:J14) /SQRT(COUNT(J3:J14))</f>
        <v>1.7049950565476866</v>
      </c>
      <c r="N3" s="1"/>
      <c r="O3" t="s">
        <v>32</v>
      </c>
      <c r="P3">
        <v>1</v>
      </c>
      <c r="Q3">
        <v>82.638888888888886</v>
      </c>
      <c r="R3">
        <v>68.214496430628699</v>
      </c>
      <c r="S3" s="4">
        <f>STDEV(Q3:Q14) /SQRT(COUNT(Q3:Q14))</f>
        <v>3.0624530238472287</v>
      </c>
    </row>
    <row r="4" spans="1:33" x14ac:dyDescent="0.2">
      <c r="A4" t="s">
        <v>233</v>
      </c>
      <c r="B4">
        <v>2</v>
      </c>
      <c r="C4">
        <v>77.5</v>
      </c>
      <c r="H4" t="s">
        <v>233</v>
      </c>
      <c r="I4">
        <v>2</v>
      </c>
      <c r="J4">
        <v>77.473684210526315</v>
      </c>
      <c r="N4" s="1"/>
      <c r="O4" t="s">
        <v>233</v>
      </c>
      <c r="P4">
        <v>2</v>
      </c>
      <c r="Q4">
        <v>71.428571428571431</v>
      </c>
      <c r="V4" t="s">
        <v>61</v>
      </c>
      <c r="W4" t="s">
        <v>1</v>
      </c>
      <c r="X4" t="s">
        <v>2</v>
      </c>
      <c r="Y4" t="s">
        <v>4</v>
      </c>
      <c r="Z4" t="s">
        <v>95</v>
      </c>
      <c r="AC4" t="s">
        <v>61</v>
      </c>
      <c r="AD4" t="s">
        <v>1</v>
      </c>
      <c r="AE4" t="s">
        <v>2</v>
      </c>
      <c r="AF4" t="s">
        <v>4</v>
      </c>
      <c r="AG4" t="s">
        <v>95</v>
      </c>
    </row>
    <row r="5" spans="1:33" ht="16" x14ac:dyDescent="0.25">
      <c r="B5">
        <v>3</v>
      </c>
      <c r="C5">
        <v>80.545112781954884</v>
      </c>
      <c r="I5">
        <v>3</v>
      </c>
      <c r="J5">
        <v>72.67080745341616</v>
      </c>
      <c r="N5" s="1"/>
      <c r="P5">
        <v>3</v>
      </c>
      <c r="Q5">
        <v>79.451090781140039</v>
      </c>
      <c r="V5" t="s">
        <v>32</v>
      </c>
      <c r="W5">
        <v>1</v>
      </c>
      <c r="X5">
        <v>28.686019862490454</v>
      </c>
      <c r="Y5">
        <f>AVERAGE(X5:X16)</f>
        <v>63.666687655470774</v>
      </c>
      <c r="Z5" s="4">
        <f>STDEV(X5:X16) /SQRT(COUNT(X5:X16))</f>
        <v>3.5126090696353294</v>
      </c>
      <c r="AC5" t="s">
        <v>32</v>
      </c>
      <c r="AD5">
        <v>1</v>
      </c>
      <c r="AE5">
        <v>54.75423045930701</v>
      </c>
      <c r="AF5">
        <f>AVERAGE(AE5:AE16)</f>
        <v>55.123526234964324</v>
      </c>
      <c r="AG5" s="4">
        <f>STDEV(AE5:AE16) /SQRT(COUNT(AE5:AE16))</f>
        <v>2.4539027778216984</v>
      </c>
    </row>
    <row r="6" spans="1:33" x14ac:dyDescent="0.2">
      <c r="B6">
        <v>4</v>
      </c>
      <c r="C6">
        <v>72.759856630824373</v>
      </c>
      <c r="I6">
        <v>4</v>
      </c>
      <c r="J6">
        <v>65.238095238095241</v>
      </c>
      <c r="N6" s="1"/>
      <c r="P6">
        <v>4</v>
      </c>
      <c r="Q6">
        <v>67.077267637178053</v>
      </c>
      <c r="V6" t="s">
        <v>490</v>
      </c>
      <c r="W6">
        <v>2</v>
      </c>
      <c r="X6">
        <v>70.524412296564194</v>
      </c>
      <c r="AC6" t="s">
        <v>489</v>
      </c>
      <c r="AD6">
        <v>2</v>
      </c>
      <c r="AE6">
        <v>59.739866908650939</v>
      </c>
    </row>
    <row r="7" spans="1:33" x14ac:dyDescent="0.2">
      <c r="B7">
        <v>5</v>
      </c>
      <c r="C7">
        <v>78.571428571428569</v>
      </c>
      <c r="I7">
        <v>5</v>
      </c>
      <c r="J7">
        <v>69.473684210526315</v>
      </c>
      <c r="N7" s="1"/>
      <c r="P7">
        <v>5</v>
      </c>
      <c r="Q7">
        <v>74.686716791979947</v>
      </c>
      <c r="W7">
        <v>3</v>
      </c>
      <c r="X7">
        <v>67.117117117117118</v>
      </c>
      <c r="AD7">
        <v>3</v>
      </c>
      <c r="AE7">
        <v>62.818336162988111</v>
      </c>
    </row>
    <row r="8" spans="1:33" x14ac:dyDescent="0.2">
      <c r="B8">
        <v>6</v>
      </c>
      <c r="C8">
        <v>69.541569541569544</v>
      </c>
      <c r="I8">
        <v>6</v>
      </c>
      <c r="J8">
        <v>66.584766584766584</v>
      </c>
      <c r="N8" s="1"/>
      <c r="P8">
        <v>6</v>
      </c>
      <c r="Q8">
        <v>76.92307692307692</v>
      </c>
      <c r="W8">
        <v>4</v>
      </c>
      <c r="X8">
        <v>71.081081081081081</v>
      </c>
      <c r="AD8">
        <v>4</v>
      </c>
      <c r="AE8">
        <v>56.466302367941708</v>
      </c>
    </row>
    <row r="9" spans="1:33" x14ac:dyDescent="0.2">
      <c r="B9">
        <v>7</v>
      </c>
      <c r="C9">
        <v>82.012987012987011</v>
      </c>
      <c r="I9">
        <v>7</v>
      </c>
      <c r="J9">
        <v>72.527910685805423</v>
      </c>
      <c r="N9" s="1"/>
      <c r="P9">
        <v>7</v>
      </c>
      <c r="Q9">
        <v>49.535603715170282</v>
      </c>
      <c r="W9">
        <v>5</v>
      </c>
      <c r="X9">
        <v>67.35294117647058</v>
      </c>
      <c r="AD9">
        <v>5</v>
      </c>
      <c r="AE9">
        <v>36.969696969696969</v>
      </c>
    </row>
    <row r="10" spans="1:33" x14ac:dyDescent="0.2">
      <c r="B10">
        <v>8</v>
      </c>
      <c r="C10">
        <v>79.166666666666657</v>
      </c>
      <c r="I10">
        <v>8</v>
      </c>
      <c r="J10">
        <v>81.666666666666657</v>
      </c>
      <c r="N10" s="1"/>
      <c r="P10">
        <v>8</v>
      </c>
      <c r="Q10">
        <v>69.019607843137251</v>
      </c>
      <c r="W10">
        <v>6</v>
      </c>
      <c r="X10">
        <v>55</v>
      </c>
      <c r="AD10">
        <v>6</v>
      </c>
      <c r="AE10">
        <v>46.296296296296291</v>
      </c>
    </row>
    <row r="11" spans="1:33" x14ac:dyDescent="0.2">
      <c r="B11">
        <v>9</v>
      </c>
      <c r="C11">
        <v>70.231729055258455</v>
      </c>
      <c r="I11">
        <v>9</v>
      </c>
      <c r="J11">
        <v>67.307692307692307</v>
      </c>
      <c r="N11" s="1"/>
      <c r="P11">
        <v>9</v>
      </c>
      <c r="Q11">
        <v>62.337662337662337</v>
      </c>
      <c r="W11">
        <v>7</v>
      </c>
      <c r="X11">
        <v>64.912280701754383</v>
      </c>
      <c r="AD11">
        <v>7</v>
      </c>
      <c r="AE11">
        <v>56.912878787878789</v>
      </c>
    </row>
    <row r="12" spans="1:33" x14ac:dyDescent="0.2">
      <c r="B12">
        <v>10</v>
      </c>
      <c r="C12">
        <v>68.627450980392155</v>
      </c>
      <c r="I12">
        <v>10</v>
      </c>
      <c r="J12">
        <v>74.928774928774928</v>
      </c>
      <c r="N12" s="1"/>
      <c r="P12">
        <v>10</v>
      </c>
      <c r="Q12">
        <v>50</v>
      </c>
      <c r="W12">
        <v>8</v>
      </c>
      <c r="X12">
        <v>65.294117647058826</v>
      </c>
      <c r="AD12">
        <v>8</v>
      </c>
      <c r="AE12">
        <v>65.151515151515156</v>
      </c>
    </row>
    <row r="13" spans="1:33" x14ac:dyDescent="0.2">
      <c r="B13">
        <v>11</v>
      </c>
      <c r="C13">
        <v>74.603174603174608</v>
      </c>
      <c r="I13">
        <v>11</v>
      </c>
      <c r="J13">
        <v>79.755283648498335</v>
      </c>
      <c r="N13" s="1"/>
      <c r="P13">
        <v>11</v>
      </c>
      <c r="Q13">
        <v>73.122529644268766</v>
      </c>
      <c r="W13">
        <v>9</v>
      </c>
      <c r="X13">
        <v>62.926829268292686</v>
      </c>
      <c r="AD13">
        <v>9</v>
      </c>
      <c r="AE13">
        <v>61.481481481481481</v>
      </c>
    </row>
    <row r="14" spans="1:33" x14ac:dyDescent="0.2">
      <c r="B14">
        <v>12</v>
      </c>
      <c r="C14">
        <v>63.37562051847766</v>
      </c>
      <c r="I14">
        <v>12</v>
      </c>
      <c r="J14">
        <v>79.285714285714278</v>
      </c>
      <c r="N14" s="1"/>
      <c r="P14">
        <v>12</v>
      </c>
      <c r="Q14">
        <v>62.352941176470587</v>
      </c>
      <c r="W14">
        <v>10</v>
      </c>
      <c r="X14">
        <v>70.574162679425839</v>
      </c>
      <c r="AD14">
        <v>10</v>
      </c>
      <c r="AE14">
        <v>52.850877192982459</v>
      </c>
    </row>
    <row r="15" spans="1:33" x14ac:dyDescent="0.2">
      <c r="N15" s="1"/>
      <c r="W15">
        <v>11</v>
      </c>
      <c r="X15">
        <v>64.659197012138193</v>
      </c>
      <c r="AD15">
        <v>11</v>
      </c>
      <c r="AE15">
        <v>45.270270270270274</v>
      </c>
    </row>
    <row r="16" spans="1:33" x14ac:dyDescent="0.2">
      <c r="A16" t="s">
        <v>3</v>
      </c>
      <c r="B16" t="s">
        <v>1</v>
      </c>
      <c r="C16" t="s">
        <v>2</v>
      </c>
      <c r="D16" t="s">
        <v>4</v>
      </c>
      <c r="E16" t="s">
        <v>95</v>
      </c>
      <c r="H16" t="s">
        <v>3</v>
      </c>
      <c r="I16" t="s">
        <v>1</v>
      </c>
      <c r="J16" t="s">
        <v>2</v>
      </c>
      <c r="K16" t="s">
        <v>4</v>
      </c>
      <c r="L16" t="s">
        <v>95</v>
      </c>
      <c r="N16" s="1"/>
      <c r="O16" t="s">
        <v>3</v>
      </c>
      <c r="P16" t="s">
        <v>1</v>
      </c>
      <c r="Q16" t="s">
        <v>2</v>
      </c>
      <c r="R16" t="s">
        <v>4</v>
      </c>
      <c r="S16" t="s">
        <v>95</v>
      </c>
      <c r="W16">
        <v>12</v>
      </c>
      <c r="X16">
        <v>75.872093023255815</v>
      </c>
      <c r="AD16">
        <v>12</v>
      </c>
      <c r="AE16">
        <v>62.770562770562769</v>
      </c>
    </row>
    <row r="17" spans="1:33" ht="16" x14ac:dyDescent="0.25">
      <c r="A17" t="s">
        <v>33</v>
      </c>
      <c r="B17">
        <v>1</v>
      </c>
      <c r="C17">
        <v>70</v>
      </c>
      <c r="D17">
        <v>76.004884355880819</v>
      </c>
      <c r="E17" s="4">
        <f>STDEV(C17:C28) /SQRT(COUNT(C17:C28))</f>
        <v>2.1781950628343094</v>
      </c>
      <c r="H17" t="s">
        <v>48</v>
      </c>
      <c r="I17">
        <v>1</v>
      </c>
      <c r="J17">
        <v>72.556390977443613</v>
      </c>
      <c r="K17">
        <v>72.237577199523969</v>
      </c>
      <c r="L17" s="4">
        <f>STDEV(J17:J28) /SQRT(COUNT(J17:J28))</f>
        <v>3.135800337407511</v>
      </c>
      <c r="N17" s="1"/>
      <c r="O17" t="s">
        <v>48</v>
      </c>
      <c r="P17">
        <v>1</v>
      </c>
      <c r="Q17">
        <v>70.23026315789474</v>
      </c>
      <c r="R17">
        <v>69.807499229896933</v>
      </c>
      <c r="S17" s="4">
        <f>STDEV(Q17:Q28) /SQRT(COUNT(Q17:Q28))</f>
        <v>2.089808714692289</v>
      </c>
    </row>
    <row r="18" spans="1:33" x14ac:dyDescent="0.2">
      <c r="A18" t="s">
        <v>233</v>
      </c>
      <c r="B18">
        <v>2</v>
      </c>
      <c r="C18">
        <v>75.735294117647058</v>
      </c>
      <c r="H18" t="s">
        <v>233</v>
      </c>
      <c r="I18">
        <v>2</v>
      </c>
      <c r="J18">
        <v>81.428571428571431</v>
      </c>
      <c r="N18" s="1"/>
      <c r="O18" t="s">
        <v>233</v>
      </c>
      <c r="P18">
        <v>2</v>
      </c>
      <c r="Q18">
        <v>82.783882783882774</v>
      </c>
      <c r="V18" t="s">
        <v>3</v>
      </c>
      <c r="W18" t="s">
        <v>1</v>
      </c>
      <c r="X18" t="s">
        <v>2</v>
      </c>
      <c r="Y18" t="s">
        <v>4</v>
      </c>
      <c r="Z18" t="s">
        <v>95</v>
      </c>
      <c r="AC18" t="s">
        <v>3</v>
      </c>
      <c r="AD18" t="s">
        <v>1</v>
      </c>
      <c r="AE18" t="s">
        <v>2</v>
      </c>
      <c r="AF18" t="s">
        <v>4</v>
      </c>
      <c r="AG18" t="s">
        <v>95</v>
      </c>
    </row>
    <row r="19" spans="1:33" ht="16" x14ac:dyDescent="0.25">
      <c r="B19">
        <v>3</v>
      </c>
      <c r="C19">
        <v>94.797297297297291</v>
      </c>
      <c r="I19">
        <v>3</v>
      </c>
      <c r="J19">
        <v>48.452088452088454</v>
      </c>
      <c r="N19" s="1"/>
      <c r="P19">
        <v>3</v>
      </c>
      <c r="Q19">
        <v>74.047619047619051</v>
      </c>
      <c r="V19" t="s">
        <v>48</v>
      </c>
      <c r="W19">
        <v>1</v>
      </c>
      <c r="X19">
        <v>28.514492753623188</v>
      </c>
      <c r="Y19">
        <f>AVERAGE(X19:X30)</f>
        <v>62.400040810907967</v>
      </c>
      <c r="Z19" s="4">
        <f>STDEV(X19:X30) /SQRT(COUNT(X19:X30))</f>
        <v>3.3934311238353994</v>
      </c>
      <c r="AC19" t="s">
        <v>48</v>
      </c>
      <c r="AD19">
        <v>1</v>
      </c>
      <c r="AE19">
        <v>47.727272727272727</v>
      </c>
      <c r="AF19">
        <f>AVERAGE(AE19:AE30)</f>
        <v>53.617562144145815</v>
      </c>
      <c r="AG19" s="4">
        <f>STDEV(AE19:AE30) /SQRT(COUNT(AE19:AE30))</f>
        <v>3.2712107697202457</v>
      </c>
    </row>
    <row r="20" spans="1:33" x14ac:dyDescent="0.2">
      <c r="B20">
        <v>4</v>
      </c>
      <c r="C20">
        <v>83.75</v>
      </c>
      <c r="I20">
        <v>4</v>
      </c>
      <c r="J20">
        <v>71.57190635451505</v>
      </c>
      <c r="N20" s="1"/>
      <c r="P20">
        <v>4</v>
      </c>
      <c r="Q20">
        <v>74</v>
      </c>
      <c r="V20" t="s">
        <v>490</v>
      </c>
      <c r="W20">
        <v>2</v>
      </c>
      <c r="X20">
        <v>66.666666666666671</v>
      </c>
      <c r="AC20" t="s">
        <v>489</v>
      </c>
      <c r="AD20">
        <v>2</v>
      </c>
      <c r="AE20">
        <v>52.680652680652685</v>
      </c>
    </row>
    <row r="21" spans="1:33" x14ac:dyDescent="0.2">
      <c r="B21">
        <v>5</v>
      </c>
      <c r="C21">
        <v>74.598930481283418</v>
      </c>
      <c r="I21">
        <v>5</v>
      </c>
      <c r="J21">
        <v>52.142857142857146</v>
      </c>
      <c r="N21" s="1"/>
      <c r="P21">
        <v>5</v>
      </c>
      <c r="Q21">
        <v>69.56018518518519</v>
      </c>
      <c r="W21">
        <v>3</v>
      </c>
      <c r="X21">
        <v>66.098484848484844</v>
      </c>
      <c r="AD21">
        <v>3</v>
      </c>
      <c r="AE21">
        <v>68.825910931174093</v>
      </c>
    </row>
    <row r="22" spans="1:33" x14ac:dyDescent="0.2">
      <c r="B22">
        <v>6</v>
      </c>
      <c r="C22">
        <v>66.598915989159892</v>
      </c>
      <c r="I22">
        <v>6</v>
      </c>
      <c r="J22">
        <v>77.350427350427339</v>
      </c>
      <c r="N22" s="1"/>
      <c r="P22">
        <v>6</v>
      </c>
      <c r="Q22">
        <v>77.777777777777771</v>
      </c>
      <c r="W22">
        <v>4</v>
      </c>
      <c r="X22">
        <v>66.142857142857139</v>
      </c>
      <c r="AD22">
        <v>4</v>
      </c>
      <c r="AE22">
        <v>73.484848484848484</v>
      </c>
    </row>
    <row r="23" spans="1:33" x14ac:dyDescent="0.2">
      <c r="B23">
        <v>7</v>
      </c>
      <c r="C23">
        <v>75.691244239631345</v>
      </c>
      <c r="I23">
        <v>7</v>
      </c>
      <c r="J23">
        <v>77.740778688524586</v>
      </c>
      <c r="N23" s="1"/>
      <c r="P23">
        <v>7</v>
      </c>
      <c r="Q23">
        <v>59.354365370506237</v>
      </c>
      <c r="W23">
        <v>5</v>
      </c>
      <c r="X23">
        <v>72.848484848484844</v>
      </c>
      <c r="AD23">
        <v>5</v>
      </c>
      <c r="AE23">
        <v>30.325814536340854</v>
      </c>
    </row>
    <row r="24" spans="1:33" x14ac:dyDescent="0.2">
      <c r="B24">
        <v>8</v>
      </c>
      <c r="C24">
        <v>78.409090909090907</v>
      </c>
      <c r="I24">
        <v>8</v>
      </c>
      <c r="J24">
        <v>74.615384615384613</v>
      </c>
      <c r="N24" s="1"/>
      <c r="P24">
        <v>8</v>
      </c>
      <c r="Q24">
        <v>70.634920634920633</v>
      </c>
      <c r="W24">
        <v>6</v>
      </c>
      <c r="X24">
        <v>63.839701770736255</v>
      </c>
      <c r="AD24">
        <v>6</v>
      </c>
      <c r="AE24">
        <v>57.727272727272727</v>
      </c>
    </row>
    <row r="25" spans="1:33" x14ac:dyDescent="0.2">
      <c r="B25">
        <v>9</v>
      </c>
      <c r="C25">
        <v>70.562770562770567</v>
      </c>
      <c r="I25">
        <v>9</v>
      </c>
      <c r="J25">
        <v>75.456389452332658</v>
      </c>
      <c r="N25" s="1"/>
      <c r="P25">
        <v>9</v>
      </c>
      <c r="Q25">
        <v>70.555555555555557</v>
      </c>
      <c r="W25">
        <v>7</v>
      </c>
      <c r="X25">
        <v>67.996289424860862</v>
      </c>
      <c r="AD25">
        <v>7</v>
      </c>
      <c r="AE25">
        <v>59.173126614987083</v>
      </c>
    </row>
    <row r="26" spans="1:33" x14ac:dyDescent="0.2">
      <c r="B26">
        <v>10</v>
      </c>
      <c r="C26">
        <v>74.503657262277954</v>
      </c>
      <c r="I26">
        <v>10</v>
      </c>
      <c r="J26">
        <v>74.193548387096769</v>
      </c>
      <c r="N26" s="1"/>
      <c r="P26">
        <v>10</v>
      </c>
      <c r="Q26">
        <v>64.102564102564102</v>
      </c>
      <c r="W26">
        <v>8</v>
      </c>
      <c r="X26">
        <v>62.94736842105263</v>
      </c>
      <c r="AD26">
        <v>8</v>
      </c>
      <c r="AE26">
        <v>59.276018099547514</v>
      </c>
    </row>
    <row r="27" spans="1:33" x14ac:dyDescent="0.2">
      <c r="B27">
        <v>11</v>
      </c>
      <c r="C27">
        <v>78.078078078078079</v>
      </c>
      <c r="I27">
        <v>11</v>
      </c>
      <c r="J27">
        <v>77.142857142857139</v>
      </c>
      <c r="N27" s="1"/>
      <c r="P27">
        <v>11</v>
      </c>
      <c r="Q27">
        <v>67.5</v>
      </c>
      <c r="W27">
        <v>9</v>
      </c>
      <c r="X27">
        <v>56.837606837606835</v>
      </c>
      <c r="AD27">
        <v>9</v>
      </c>
      <c r="AE27">
        <v>47.438330170777988</v>
      </c>
    </row>
    <row r="28" spans="1:33" x14ac:dyDescent="0.2">
      <c r="B28">
        <v>12</v>
      </c>
      <c r="C28">
        <v>69.333333333333343</v>
      </c>
      <c r="I28">
        <v>12</v>
      </c>
      <c r="J28">
        <v>84.199726402188787</v>
      </c>
      <c r="N28" s="1"/>
      <c r="P28">
        <v>12</v>
      </c>
      <c r="Q28">
        <v>57.142857142857139</v>
      </c>
      <c r="W28">
        <v>10</v>
      </c>
      <c r="X28">
        <v>70.417422867513608</v>
      </c>
      <c r="AD28">
        <v>10</v>
      </c>
      <c r="AE28">
        <v>52.92955892034233</v>
      </c>
    </row>
    <row r="29" spans="1:33" x14ac:dyDescent="0.2">
      <c r="N29" s="1"/>
      <c r="W29">
        <v>11</v>
      </c>
      <c r="X29">
        <v>56.672932330827066</v>
      </c>
      <c r="AD29">
        <v>11</v>
      </c>
      <c r="AE29">
        <v>46.767241379310349</v>
      </c>
    </row>
    <row r="30" spans="1:33" x14ac:dyDescent="0.2">
      <c r="A30" t="s">
        <v>5</v>
      </c>
      <c r="B30" t="s">
        <v>1</v>
      </c>
      <c r="C30" t="s">
        <v>2</v>
      </c>
      <c r="D30" t="s">
        <v>4</v>
      </c>
      <c r="E30" t="s">
        <v>95</v>
      </c>
      <c r="H30" t="s">
        <v>5</v>
      </c>
      <c r="I30" t="s">
        <v>1</v>
      </c>
      <c r="J30" t="s">
        <v>2</v>
      </c>
      <c r="K30" t="s">
        <v>4</v>
      </c>
      <c r="L30" t="s">
        <v>95</v>
      </c>
      <c r="N30" s="1"/>
      <c r="O30" t="s">
        <v>5</v>
      </c>
      <c r="P30" t="s">
        <v>1</v>
      </c>
      <c r="Q30" t="s">
        <v>2</v>
      </c>
      <c r="R30" t="s">
        <v>4</v>
      </c>
      <c r="S30" t="s">
        <v>95</v>
      </c>
      <c r="W30">
        <v>12</v>
      </c>
      <c r="X30">
        <v>69.818181818181813</v>
      </c>
      <c r="AD30">
        <v>12</v>
      </c>
      <c r="AE30">
        <v>47.054698457222997</v>
      </c>
    </row>
    <row r="31" spans="1:33" ht="16" x14ac:dyDescent="0.25">
      <c r="A31" t="s">
        <v>34</v>
      </c>
      <c r="B31">
        <v>1</v>
      </c>
      <c r="C31">
        <v>20</v>
      </c>
      <c r="D31">
        <v>9.9872211371711206</v>
      </c>
      <c r="E31" s="4">
        <f>STDEV(C31:C42) /SQRT(COUNT(C31:C42))</f>
        <v>4.1667671649555666</v>
      </c>
      <c r="H31" t="s">
        <v>49</v>
      </c>
      <c r="I31">
        <v>1</v>
      </c>
      <c r="J31">
        <v>58.174354020767936</v>
      </c>
      <c r="K31">
        <v>70.552196008784847</v>
      </c>
      <c r="L31" s="4">
        <f>STDEV(J31:J42) /SQRT(COUNT(J31:J42))</f>
        <v>2.2686185188253156</v>
      </c>
      <c r="N31" s="1"/>
      <c r="O31" t="s">
        <v>49</v>
      </c>
      <c r="P31">
        <v>1</v>
      </c>
      <c r="Q31">
        <v>20.098039215686278</v>
      </c>
      <c r="R31">
        <v>19.568892657923907</v>
      </c>
      <c r="S31" s="4">
        <f>STDEV(Q31:Q42) /SQRT(COUNT(Q31:Q42))</f>
        <v>7.6195596490084094</v>
      </c>
    </row>
    <row r="32" spans="1:33" x14ac:dyDescent="0.2">
      <c r="A32" t="s">
        <v>233</v>
      </c>
      <c r="B32">
        <v>2</v>
      </c>
      <c r="C32">
        <v>5.3571428571428568</v>
      </c>
      <c r="H32" t="s">
        <v>233</v>
      </c>
      <c r="I32">
        <v>2</v>
      </c>
      <c r="J32">
        <v>72.610294117647058</v>
      </c>
      <c r="N32" s="1"/>
      <c r="O32" t="s">
        <v>233</v>
      </c>
      <c r="P32">
        <v>2</v>
      </c>
      <c r="Q32">
        <v>82.105837424986362</v>
      </c>
      <c r="V32" t="s">
        <v>5</v>
      </c>
      <c r="W32" t="s">
        <v>1</v>
      </c>
      <c r="X32" t="s">
        <v>2</v>
      </c>
      <c r="Y32" t="s">
        <v>4</v>
      </c>
      <c r="Z32" t="s">
        <v>95</v>
      </c>
      <c r="AC32" t="s">
        <v>5</v>
      </c>
      <c r="AD32" t="s">
        <v>1</v>
      </c>
      <c r="AE32" t="s">
        <v>2</v>
      </c>
      <c r="AF32" t="s">
        <v>4</v>
      </c>
      <c r="AG32" t="s">
        <v>95</v>
      </c>
    </row>
    <row r="33" spans="1:33" ht="16" x14ac:dyDescent="0.25">
      <c r="B33">
        <v>3</v>
      </c>
      <c r="C33">
        <v>27.86377708978328</v>
      </c>
      <c r="I33">
        <v>3</v>
      </c>
      <c r="J33">
        <v>64</v>
      </c>
      <c r="N33" s="1"/>
      <c r="P33">
        <v>3</v>
      </c>
      <c r="Q33">
        <v>28.289473684210527</v>
      </c>
      <c r="V33" t="s">
        <v>49</v>
      </c>
      <c r="W33">
        <v>1</v>
      </c>
      <c r="X33">
        <v>25.142857142857142</v>
      </c>
      <c r="Y33">
        <f>AVERAGE(X33:X44)</f>
        <v>60.410373513190443</v>
      </c>
      <c r="Z33" s="4">
        <f>STDEV(X33:X44) /SQRT(COUNT(X33:X44))</f>
        <v>3.7712257107770526</v>
      </c>
      <c r="AC33" t="s">
        <v>49</v>
      </c>
      <c r="AD33">
        <v>1</v>
      </c>
      <c r="AE33">
        <v>60.544217687074834</v>
      </c>
      <c r="AF33">
        <f>AVERAGE(AE33:AE44)</f>
        <v>55.690594074810662</v>
      </c>
      <c r="AG33" s="4">
        <f>STDEV(AE33:AE44) /SQRT(COUNT(AE33:AE44))</f>
        <v>1.9827899779857552</v>
      </c>
    </row>
    <row r="34" spans="1:33" x14ac:dyDescent="0.2">
      <c r="B34">
        <v>4</v>
      </c>
      <c r="C34">
        <v>26.666666666666668</v>
      </c>
      <c r="I34">
        <v>4</v>
      </c>
      <c r="J34">
        <v>66.608695652173907</v>
      </c>
      <c r="N34" s="1"/>
      <c r="P34">
        <v>4</v>
      </c>
      <c r="Q34">
        <v>30.681818181818183</v>
      </c>
      <c r="V34" t="s">
        <v>490</v>
      </c>
      <c r="W34">
        <v>2</v>
      </c>
      <c r="X34">
        <v>59.498432601880879</v>
      </c>
      <c r="AC34" t="s">
        <v>489</v>
      </c>
      <c r="AD34">
        <v>2</v>
      </c>
      <c r="AE34">
        <v>46.263736263736263</v>
      </c>
    </row>
    <row r="35" spans="1:33" x14ac:dyDescent="0.2">
      <c r="B35">
        <v>5</v>
      </c>
      <c r="C35">
        <v>16.904761904761905</v>
      </c>
      <c r="I35">
        <v>5</v>
      </c>
      <c r="J35">
        <v>59.87394957983193</v>
      </c>
      <c r="N35" s="1"/>
      <c r="P35">
        <v>5</v>
      </c>
      <c r="Q35">
        <v>19.298245614035089</v>
      </c>
      <c r="W35">
        <v>3</v>
      </c>
      <c r="X35">
        <v>62.068965517241381</v>
      </c>
      <c r="AD35">
        <v>3</v>
      </c>
      <c r="AE35">
        <v>69.110459433040077</v>
      </c>
    </row>
    <row r="36" spans="1:33" x14ac:dyDescent="0.2">
      <c r="B36">
        <v>6</v>
      </c>
      <c r="C36">
        <v>-22.485768500948769</v>
      </c>
      <c r="I36">
        <v>6</v>
      </c>
      <c r="J36">
        <v>64.437450826121164</v>
      </c>
      <c r="N36" s="1"/>
      <c r="P36">
        <v>6</v>
      </c>
      <c r="Q36">
        <v>37.969924812030079</v>
      </c>
      <c r="W36">
        <v>4</v>
      </c>
      <c r="X36">
        <v>59.166666666666671</v>
      </c>
      <c r="AD36">
        <v>4</v>
      </c>
      <c r="AE36">
        <v>54.615384615384613</v>
      </c>
    </row>
    <row r="37" spans="1:33" x14ac:dyDescent="0.2">
      <c r="B37">
        <v>7</v>
      </c>
      <c r="C37">
        <v>13.055555555555555</v>
      </c>
      <c r="I37">
        <v>7</v>
      </c>
      <c r="J37">
        <v>75.837320574162675</v>
      </c>
      <c r="N37" s="1"/>
      <c r="P37">
        <v>7</v>
      </c>
      <c r="Q37">
        <v>17.5</v>
      </c>
      <c r="W37">
        <v>5</v>
      </c>
      <c r="X37">
        <v>62.456140350877192</v>
      </c>
      <c r="AD37">
        <v>5</v>
      </c>
      <c r="AE37">
        <v>42.424242424242422</v>
      </c>
    </row>
    <row r="38" spans="1:33" x14ac:dyDescent="0.2">
      <c r="B38">
        <v>8</v>
      </c>
      <c r="C38">
        <v>22.727272727272727</v>
      </c>
      <c r="I38">
        <v>8</v>
      </c>
      <c r="J38">
        <v>80.243902439024396</v>
      </c>
      <c r="N38" s="1"/>
      <c r="P38">
        <v>8</v>
      </c>
      <c r="Q38">
        <v>-13.333333333333336</v>
      </c>
      <c r="W38">
        <v>6</v>
      </c>
      <c r="X38">
        <v>57.208237986270021</v>
      </c>
      <c r="AD38">
        <v>6</v>
      </c>
      <c r="AE38">
        <v>55.555555555555557</v>
      </c>
    </row>
    <row r="39" spans="1:33" x14ac:dyDescent="0.2">
      <c r="B39">
        <v>9</v>
      </c>
      <c r="C39">
        <v>2.5260625501202867</v>
      </c>
      <c r="I39">
        <v>9</v>
      </c>
      <c r="J39">
        <v>80</v>
      </c>
      <c r="N39" s="1"/>
      <c r="P39">
        <v>9</v>
      </c>
      <c r="Q39">
        <v>24.03846153846154</v>
      </c>
      <c r="W39">
        <v>7</v>
      </c>
      <c r="X39">
        <v>65.384615384615387</v>
      </c>
      <c r="AD39">
        <v>7</v>
      </c>
      <c r="AE39">
        <v>53.37243401759531</v>
      </c>
    </row>
    <row r="40" spans="1:33" x14ac:dyDescent="0.2">
      <c r="B40">
        <v>10</v>
      </c>
      <c r="C40">
        <v>-1.935483870967742</v>
      </c>
      <c r="I40">
        <v>10</v>
      </c>
      <c r="J40">
        <v>69.917479369842454</v>
      </c>
      <c r="N40" s="1"/>
      <c r="P40">
        <v>10</v>
      </c>
      <c r="Q40">
        <v>-10.164835164835164</v>
      </c>
      <c r="W40">
        <v>8</v>
      </c>
      <c r="X40">
        <v>66.723842195540314</v>
      </c>
      <c r="AD40">
        <v>8</v>
      </c>
      <c r="AE40">
        <v>57.5</v>
      </c>
    </row>
    <row r="41" spans="1:33" x14ac:dyDescent="0.2">
      <c r="B41">
        <v>11</v>
      </c>
      <c r="C41">
        <v>9.1666666666666661</v>
      </c>
      <c r="I41">
        <v>11</v>
      </c>
      <c r="J41">
        <v>79.044117647058826</v>
      </c>
      <c r="N41" s="1"/>
      <c r="P41">
        <v>11</v>
      </c>
      <c r="Q41">
        <v>13.157894736842104</v>
      </c>
      <c r="W41">
        <v>9</v>
      </c>
      <c r="X41">
        <v>50.505050505050505</v>
      </c>
      <c r="AD41">
        <v>9</v>
      </c>
      <c r="AE41">
        <v>57.216117216117212</v>
      </c>
    </row>
    <row r="42" spans="1:33" x14ac:dyDescent="0.2">
      <c r="B42">
        <v>12</v>
      </c>
      <c r="C42">
        <v>0</v>
      </c>
      <c r="I42">
        <v>12</v>
      </c>
      <c r="J42">
        <v>75.878787878787875</v>
      </c>
      <c r="N42" s="1"/>
      <c r="P42">
        <v>12</v>
      </c>
      <c r="Q42">
        <v>-14.814814814814817</v>
      </c>
      <c r="W42">
        <v>10</v>
      </c>
      <c r="X42">
        <v>76.666666666666657</v>
      </c>
      <c r="AD42">
        <v>10</v>
      </c>
      <c r="AE42">
        <v>53.589743589743591</v>
      </c>
    </row>
    <row r="43" spans="1:33" x14ac:dyDescent="0.2">
      <c r="N43" s="1"/>
      <c r="W43">
        <v>11</v>
      </c>
      <c r="X43">
        <v>69.320486815415819</v>
      </c>
      <c r="AD43">
        <v>11</v>
      </c>
      <c r="AE43">
        <v>56.666666666666671</v>
      </c>
    </row>
    <row r="44" spans="1:33" x14ac:dyDescent="0.2">
      <c r="A44" t="s">
        <v>61</v>
      </c>
      <c r="B44" t="s">
        <v>1</v>
      </c>
      <c r="C44" t="s">
        <v>2</v>
      </c>
      <c r="D44" t="s">
        <v>4</v>
      </c>
      <c r="E44" t="s">
        <v>95</v>
      </c>
      <c r="H44" t="s">
        <v>61</v>
      </c>
      <c r="I44" t="s">
        <v>1</v>
      </c>
      <c r="J44" t="s">
        <v>2</v>
      </c>
      <c r="K44" t="s">
        <v>4</v>
      </c>
      <c r="L44" t="s">
        <v>95</v>
      </c>
      <c r="N44" s="1"/>
      <c r="O44" t="s">
        <v>61</v>
      </c>
      <c r="P44" t="s">
        <v>1</v>
      </c>
      <c r="Q44" t="s">
        <v>2</v>
      </c>
      <c r="R44" t="s">
        <v>4</v>
      </c>
      <c r="S44" t="s">
        <v>95</v>
      </c>
      <c r="W44">
        <v>12</v>
      </c>
      <c r="X44">
        <v>70.782520325203251</v>
      </c>
      <c r="AD44">
        <v>12</v>
      </c>
      <c r="AE44">
        <v>61.428571428571431</v>
      </c>
    </row>
    <row r="45" spans="1:33" ht="16" x14ac:dyDescent="0.25">
      <c r="A45" t="s">
        <v>32</v>
      </c>
      <c r="B45">
        <v>1</v>
      </c>
      <c r="C45">
        <v>63.308641975308646</v>
      </c>
      <c r="D45">
        <v>72.537441039974908</v>
      </c>
      <c r="E45" s="4">
        <f>STDEV(C45:C56) /SQRT(COUNT(C45:C56))</f>
        <v>1.7685796912258016</v>
      </c>
      <c r="H45" t="s">
        <v>32</v>
      </c>
      <c r="I45">
        <v>1</v>
      </c>
      <c r="J45">
        <v>60.130718954248366</v>
      </c>
      <c r="K45">
        <v>70.959252419167044</v>
      </c>
      <c r="L45" s="4">
        <f>STDEV(J45:J56) /SQRT(COUNT(J45:J56))</f>
        <v>2.7067200453955325</v>
      </c>
      <c r="N45" s="1"/>
      <c r="O45" t="s">
        <v>32</v>
      </c>
      <c r="P45">
        <v>1</v>
      </c>
      <c r="Q45">
        <v>50.303030303030297</v>
      </c>
      <c r="R45">
        <v>54.99593230407438</v>
      </c>
      <c r="S45" s="4">
        <f>STDEV(Q45:Q56) /SQRT(COUNT(Q45:Q56))</f>
        <v>3.3792512173383837</v>
      </c>
    </row>
    <row r="46" spans="1:33" x14ac:dyDescent="0.2">
      <c r="A46" t="s">
        <v>234</v>
      </c>
      <c r="B46">
        <v>2</v>
      </c>
      <c r="C46">
        <v>81.092436974789905</v>
      </c>
      <c r="H46" t="s">
        <v>234</v>
      </c>
      <c r="I46">
        <v>2</v>
      </c>
      <c r="J46">
        <v>63.333333333333336</v>
      </c>
      <c r="N46" s="1"/>
      <c r="O46" t="s">
        <v>234</v>
      </c>
      <c r="P46">
        <v>2</v>
      </c>
      <c r="Q46">
        <v>45.588235294117652</v>
      </c>
      <c r="V46" t="s">
        <v>61</v>
      </c>
      <c r="W46" t="s">
        <v>1</v>
      </c>
      <c r="X46" t="s">
        <v>2</v>
      </c>
      <c r="Y46" t="s">
        <v>4</v>
      </c>
      <c r="Z46" t="s">
        <v>95</v>
      </c>
      <c r="AC46" t="s">
        <v>61</v>
      </c>
      <c r="AD46" t="s">
        <v>1</v>
      </c>
      <c r="AE46" t="s">
        <v>2</v>
      </c>
      <c r="AF46" t="s">
        <v>4</v>
      </c>
      <c r="AG46" t="s">
        <v>95</v>
      </c>
    </row>
    <row r="47" spans="1:33" ht="16" x14ac:dyDescent="0.25">
      <c r="B47">
        <v>3</v>
      </c>
      <c r="C47">
        <v>82.117647058823536</v>
      </c>
      <c r="I47">
        <v>3</v>
      </c>
      <c r="J47">
        <v>85.164835164835154</v>
      </c>
      <c r="N47" s="1"/>
      <c r="P47">
        <v>3</v>
      </c>
      <c r="Q47">
        <v>75.98684210526315</v>
      </c>
      <c r="V47" t="s">
        <v>32</v>
      </c>
      <c r="W47">
        <v>1</v>
      </c>
      <c r="X47">
        <v>-10.606060606060609</v>
      </c>
      <c r="Y47">
        <f>AVERAGE(X47:X58)</f>
        <v>52.696489001026926</v>
      </c>
      <c r="Z47" s="4">
        <f>STDEV(X47:X58) /SQRT(COUNT(X47:X58))</f>
        <v>6.4318846669478686</v>
      </c>
      <c r="AC47" t="s">
        <v>32</v>
      </c>
      <c r="AD47">
        <v>1</v>
      </c>
      <c r="AE47">
        <v>27.055702917771882</v>
      </c>
      <c r="AF47">
        <f>AVERAGE(AE47:AE58)</f>
        <v>25.859502990040141</v>
      </c>
      <c r="AG47" s="4">
        <f>STDEV(AE47:AE58) /SQRT(COUNT(AE47:AE58))</f>
        <v>4.370557800938081</v>
      </c>
    </row>
    <row r="48" spans="1:33" x14ac:dyDescent="0.2">
      <c r="B48">
        <v>4</v>
      </c>
      <c r="C48">
        <v>70</v>
      </c>
      <c r="I48">
        <v>4</v>
      </c>
      <c r="J48">
        <v>71.428571428571431</v>
      </c>
      <c r="N48" s="1"/>
      <c r="P48">
        <v>4</v>
      </c>
      <c r="Q48">
        <v>63.970588235294116</v>
      </c>
      <c r="V48" t="s">
        <v>489</v>
      </c>
      <c r="W48">
        <v>2</v>
      </c>
      <c r="X48">
        <v>62.5</v>
      </c>
      <c r="AC48" t="s">
        <v>492</v>
      </c>
      <c r="AD48">
        <v>2</v>
      </c>
      <c r="AE48">
        <v>10</v>
      </c>
    </row>
    <row r="49" spans="1:33" x14ac:dyDescent="0.2">
      <c r="B49">
        <v>5</v>
      </c>
      <c r="C49">
        <v>78.365384615384613</v>
      </c>
      <c r="I49">
        <v>5</v>
      </c>
      <c r="J49">
        <v>58.254269449715366</v>
      </c>
      <c r="N49" s="1"/>
      <c r="P49">
        <v>5</v>
      </c>
      <c r="Q49">
        <v>43.63636363636364</v>
      </c>
      <c r="W49">
        <v>3</v>
      </c>
      <c r="X49">
        <v>51.297208538587853</v>
      </c>
      <c r="AD49">
        <v>3</v>
      </c>
      <c r="AE49">
        <v>12.857142857142854</v>
      </c>
    </row>
    <row r="50" spans="1:33" x14ac:dyDescent="0.2">
      <c r="B50">
        <v>6</v>
      </c>
      <c r="C50">
        <v>69.178743961352666</v>
      </c>
      <c r="I50">
        <v>6</v>
      </c>
      <c r="J50">
        <v>60.57692307692308</v>
      </c>
      <c r="N50" s="1"/>
      <c r="P50">
        <v>6</v>
      </c>
      <c r="Q50">
        <v>40.109890109890109</v>
      </c>
      <c r="W50">
        <v>4</v>
      </c>
      <c r="X50">
        <v>60.269865067466263</v>
      </c>
      <c r="AD50">
        <v>4</v>
      </c>
      <c r="AE50">
        <v>21.53846153846154</v>
      </c>
    </row>
    <row r="51" spans="1:33" x14ac:dyDescent="0.2">
      <c r="B51">
        <v>7</v>
      </c>
      <c r="C51">
        <v>70.329670329670336</v>
      </c>
      <c r="I51">
        <v>7</v>
      </c>
      <c r="J51">
        <v>63.888888888888886</v>
      </c>
      <c r="N51" s="1"/>
      <c r="P51">
        <v>7</v>
      </c>
      <c r="Q51">
        <v>49.285714285714285</v>
      </c>
      <c r="W51">
        <v>5</v>
      </c>
      <c r="X51">
        <v>42.371615312791782</v>
      </c>
      <c r="AD51">
        <v>5</v>
      </c>
      <c r="AE51">
        <v>25</v>
      </c>
    </row>
    <row r="52" spans="1:33" x14ac:dyDescent="0.2">
      <c r="B52">
        <v>8</v>
      </c>
      <c r="C52">
        <v>64.444444444444443</v>
      </c>
      <c r="I52">
        <v>8</v>
      </c>
      <c r="J52">
        <v>76.340326340326328</v>
      </c>
      <c r="N52" s="1"/>
      <c r="P52">
        <v>8</v>
      </c>
      <c r="Q52">
        <v>50.349650349650346</v>
      </c>
      <c r="W52">
        <v>6</v>
      </c>
      <c r="X52">
        <v>64.424031777557104</v>
      </c>
      <c r="AD52">
        <v>6</v>
      </c>
      <c r="AE52">
        <v>39.111261872455898</v>
      </c>
    </row>
    <row r="53" spans="1:33" x14ac:dyDescent="0.2">
      <c r="B53">
        <v>9</v>
      </c>
      <c r="C53">
        <v>74</v>
      </c>
      <c r="I53">
        <v>9</v>
      </c>
      <c r="J53">
        <v>80.952380952380949</v>
      </c>
      <c r="N53" s="1"/>
      <c r="P53">
        <v>9</v>
      </c>
      <c r="Q53">
        <v>48.484848484848484</v>
      </c>
      <c r="W53">
        <v>7</v>
      </c>
      <c r="X53">
        <v>60.737812911725953</v>
      </c>
      <c r="AD53">
        <v>7</v>
      </c>
      <c r="AE53">
        <v>32.736572890025577</v>
      </c>
    </row>
    <row r="54" spans="1:33" x14ac:dyDescent="0.2">
      <c r="B54">
        <v>10</v>
      </c>
      <c r="C54">
        <v>75</v>
      </c>
      <c r="I54">
        <v>10</v>
      </c>
      <c r="J54">
        <v>80.448717948717956</v>
      </c>
      <c r="N54" s="1"/>
      <c r="P54">
        <v>10</v>
      </c>
      <c r="Q54">
        <v>75</v>
      </c>
      <c r="W54">
        <v>8</v>
      </c>
      <c r="X54">
        <v>54.577270215509301</v>
      </c>
      <c r="AD54">
        <v>8</v>
      </c>
      <c r="AE54">
        <v>3.8461538461538463</v>
      </c>
    </row>
    <row r="55" spans="1:33" x14ac:dyDescent="0.2">
      <c r="B55">
        <v>11</v>
      </c>
      <c r="C55">
        <v>71.988795518207283</v>
      </c>
      <c r="I55">
        <v>11</v>
      </c>
      <c r="J55">
        <v>77.777777777777771</v>
      </c>
      <c r="N55" s="1"/>
      <c r="P55">
        <v>11</v>
      </c>
      <c r="Q55">
        <v>59.627329192546583</v>
      </c>
      <c r="W55">
        <v>9</v>
      </c>
      <c r="X55">
        <v>65.65517241379311</v>
      </c>
      <c r="AD55">
        <v>9</v>
      </c>
      <c r="AE55">
        <v>61.330049261083744</v>
      </c>
    </row>
    <row r="56" spans="1:33" x14ac:dyDescent="0.2">
      <c r="B56">
        <v>12</v>
      </c>
      <c r="C56">
        <v>66.755793226381456</v>
      </c>
      <c r="I56">
        <v>12</v>
      </c>
      <c r="J56">
        <v>73.214285714285722</v>
      </c>
      <c r="N56" s="1"/>
      <c r="P56">
        <v>12</v>
      </c>
      <c r="Q56">
        <v>57.608695652173914</v>
      </c>
      <c r="W56">
        <v>10</v>
      </c>
      <c r="X56">
        <v>40.277777777777779</v>
      </c>
      <c r="AD56">
        <v>10</v>
      </c>
      <c r="AE56">
        <v>18.233618233618234</v>
      </c>
    </row>
    <row r="57" spans="1:33" x14ac:dyDescent="0.2">
      <c r="N57" s="1"/>
      <c r="W57">
        <v>11</v>
      </c>
      <c r="X57">
        <v>74.603174603174608</v>
      </c>
      <c r="AD57">
        <v>11</v>
      </c>
      <c r="AE57">
        <v>33.333333333333329</v>
      </c>
    </row>
    <row r="58" spans="1:33" x14ac:dyDescent="0.2">
      <c r="A58" t="s">
        <v>3</v>
      </c>
      <c r="B58" t="s">
        <v>1</v>
      </c>
      <c r="C58" t="s">
        <v>2</v>
      </c>
      <c r="D58" t="s">
        <v>4</v>
      </c>
      <c r="E58" t="s">
        <v>95</v>
      </c>
      <c r="H58" t="s">
        <v>3</v>
      </c>
      <c r="I58" t="s">
        <v>1</v>
      </c>
      <c r="J58" t="s">
        <v>2</v>
      </c>
      <c r="K58" t="s">
        <v>4</v>
      </c>
      <c r="L58" t="s">
        <v>95</v>
      </c>
      <c r="N58" s="1"/>
      <c r="O58" t="s">
        <v>3</v>
      </c>
      <c r="P58" t="s">
        <v>1</v>
      </c>
      <c r="Q58" t="s">
        <v>2</v>
      </c>
      <c r="R58" t="s">
        <v>4</v>
      </c>
      <c r="S58" t="s">
        <v>95</v>
      </c>
      <c r="W58">
        <v>12</v>
      </c>
      <c r="X58">
        <v>66.25</v>
      </c>
      <c r="AD58">
        <v>12</v>
      </c>
      <c r="AE58">
        <v>25.271739130434781</v>
      </c>
    </row>
    <row r="59" spans="1:33" ht="16" x14ac:dyDescent="0.25">
      <c r="A59" t="s">
        <v>33</v>
      </c>
      <c r="B59">
        <v>1</v>
      </c>
      <c r="C59">
        <v>77.777777777777771</v>
      </c>
      <c r="D59">
        <v>76.587294130731252</v>
      </c>
      <c r="E59" s="4">
        <f>STDEV(C59:C70) /SQRT(COUNT(C59:C70))</f>
        <v>1.8925263468179521</v>
      </c>
      <c r="H59" t="s">
        <v>48</v>
      </c>
      <c r="I59">
        <v>1</v>
      </c>
      <c r="J59">
        <v>65.120772946859901</v>
      </c>
      <c r="K59">
        <v>69.566889457689285</v>
      </c>
      <c r="L59" s="4">
        <f>STDEV(J59:J70) /SQRT(COUNT(J59:J70))</f>
        <v>3.0577376303367108</v>
      </c>
      <c r="N59" s="1"/>
      <c r="O59" t="s">
        <v>48</v>
      </c>
      <c r="P59">
        <v>1</v>
      </c>
      <c r="Q59">
        <v>41.872909698996651</v>
      </c>
      <c r="R59">
        <v>56.07714636365862</v>
      </c>
      <c r="S59" s="4">
        <f>STDEV(Q59:Q70) /SQRT(COUNT(Q59:Q70))</f>
        <v>3.7072021702562656</v>
      </c>
      <c r="V59" t="s">
        <v>3</v>
      </c>
      <c r="AC59" t="s">
        <v>3</v>
      </c>
    </row>
    <row r="60" spans="1:33" x14ac:dyDescent="0.2">
      <c r="A60" t="s">
        <v>234</v>
      </c>
      <c r="B60">
        <v>2</v>
      </c>
      <c r="C60">
        <v>82.971014492753625</v>
      </c>
      <c r="H60" t="s">
        <v>234</v>
      </c>
      <c r="I60">
        <v>2</v>
      </c>
      <c r="J60">
        <v>69.473684210526315</v>
      </c>
      <c r="N60" s="1"/>
      <c r="O60" t="s">
        <v>234</v>
      </c>
      <c r="P60">
        <v>2</v>
      </c>
      <c r="Q60">
        <v>54.572940287226004</v>
      </c>
      <c r="V60" t="s">
        <v>48</v>
      </c>
      <c r="W60" t="s">
        <v>1</v>
      </c>
      <c r="X60" t="s">
        <v>2</v>
      </c>
      <c r="Y60" t="s">
        <v>4</v>
      </c>
      <c r="Z60" t="s">
        <v>95</v>
      </c>
      <c r="AC60" t="s">
        <v>48</v>
      </c>
      <c r="AD60" t="s">
        <v>1</v>
      </c>
      <c r="AE60" t="s">
        <v>2</v>
      </c>
      <c r="AF60" t="s">
        <v>4</v>
      </c>
      <c r="AG60" t="s">
        <v>95</v>
      </c>
    </row>
    <row r="61" spans="1:33" ht="16" x14ac:dyDescent="0.25">
      <c r="B61">
        <v>3</v>
      </c>
      <c r="C61">
        <v>75.187969924812023</v>
      </c>
      <c r="I61">
        <v>3</v>
      </c>
      <c r="J61">
        <v>71.21090617481957</v>
      </c>
      <c r="N61" s="1"/>
      <c r="P61">
        <v>3</v>
      </c>
      <c r="Q61">
        <v>38.98989898989899</v>
      </c>
      <c r="V61" t="s">
        <v>489</v>
      </c>
      <c r="W61">
        <v>1</v>
      </c>
      <c r="X61">
        <v>69.047619047619051</v>
      </c>
      <c r="Y61">
        <f>AVERAGE(X61:X72)</f>
        <v>54.820987426915281</v>
      </c>
      <c r="Z61" s="4">
        <f>STDEV(X61:X72) /SQRT(COUNT(X61:X72))</f>
        <v>3.1898645208972796</v>
      </c>
      <c r="AC61" t="s">
        <v>492</v>
      </c>
      <c r="AD61">
        <v>1</v>
      </c>
      <c r="AE61">
        <v>4.3212570929725018</v>
      </c>
      <c r="AF61">
        <f>AVERAGE(AE61:AE72)</f>
        <v>24.89031217101827</v>
      </c>
      <c r="AG61" s="4">
        <f>STDEV(AE61:AE72) /SQRT(COUNT(AE61:AE72))</f>
        <v>5.065765136476478</v>
      </c>
    </row>
    <row r="62" spans="1:33" x14ac:dyDescent="0.2">
      <c r="B62">
        <v>4</v>
      </c>
      <c r="C62">
        <v>78.153153153153141</v>
      </c>
      <c r="I62">
        <v>4</v>
      </c>
      <c r="J62">
        <v>58.335901386748844</v>
      </c>
      <c r="N62" s="1"/>
      <c r="P62">
        <v>4</v>
      </c>
      <c r="Q62">
        <v>38.141025641025642</v>
      </c>
      <c r="W62">
        <v>2</v>
      </c>
      <c r="X62">
        <v>64.285714285714292</v>
      </c>
      <c r="AD62">
        <v>2</v>
      </c>
      <c r="AE62">
        <v>44.561403508771924</v>
      </c>
    </row>
    <row r="63" spans="1:33" x14ac:dyDescent="0.2">
      <c r="B63">
        <v>5</v>
      </c>
      <c r="C63">
        <v>78.518518518518519</v>
      </c>
      <c r="I63">
        <v>5</v>
      </c>
      <c r="J63">
        <v>63.257042253521128</v>
      </c>
      <c r="N63" s="1"/>
      <c r="P63">
        <v>5</v>
      </c>
      <c r="Q63">
        <v>62.857142857142854</v>
      </c>
      <c r="W63">
        <v>3</v>
      </c>
      <c r="X63">
        <v>62.254901960784309</v>
      </c>
      <c r="AD63">
        <v>3</v>
      </c>
      <c r="AE63">
        <v>33.387533875338754</v>
      </c>
    </row>
    <row r="64" spans="1:33" x14ac:dyDescent="0.2">
      <c r="B64">
        <v>6</v>
      </c>
      <c r="C64">
        <v>85.204991087344027</v>
      </c>
      <c r="I64">
        <v>6</v>
      </c>
      <c r="J64">
        <v>45.633971291866025</v>
      </c>
      <c r="N64" s="1"/>
      <c r="P64">
        <v>6</v>
      </c>
      <c r="Q64">
        <v>50.666666666666671</v>
      </c>
      <c r="W64">
        <v>4</v>
      </c>
      <c r="X64">
        <v>36.115007012622719</v>
      </c>
      <c r="AD64">
        <v>4</v>
      </c>
      <c r="AE64">
        <v>31.428571428571427</v>
      </c>
    </row>
    <row r="65" spans="1:33" x14ac:dyDescent="0.2">
      <c r="B65">
        <v>7</v>
      </c>
      <c r="C65">
        <v>82.222222222222229</v>
      </c>
      <c r="I65">
        <v>7</v>
      </c>
      <c r="J65">
        <v>82.288401253918494</v>
      </c>
      <c r="N65" s="1"/>
      <c r="P65">
        <v>7</v>
      </c>
      <c r="Q65">
        <v>71.318373071528754</v>
      </c>
      <c r="W65">
        <v>5</v>
      </c>
      <c r="X65">
        <v>49.117647058823529</v>
      </c>
      <c r="AD65">
        <v>5</v>
      </c>
      <c r="AE65">
        <v>-8.3333333333333321</v>
      </c>
    </row>
    <row r="66" spans="1:33" x14ac:dyDescent="0.2">
      <c r="B66">
        <v>8</v>
      </c>
      <c r="C66">
        <v>61.25</v>
      </c>
      <c r="I66">
        <v>8</v>
      </c>
      <c r="J66">
        <v>79.891891891891902</v>
      </c>
      <c r="N66" s="1"/>
      <c r="P66">
        <v>8</v>
      </c>
      <c r="Q66">
        <v>54.166666666666671</v>
      </c>
      <c r="W66">
        <v>6</v>
      </c>
      <c r="X66">
        <v>62.424242424242422</v>
      </c>
      <c r="AD66">
        <v>6</v>
      </c>
      <c r="AE66">
        <v>23.470483005366724</v>
      </c>
    </row>
    <row r="67" spans="1:33" x14ac:dyDescent="0.2">
      <c r="B67">
        <v>9</v>
      </c>
      <c r="C67">
        <v>68</v>
      </c>
      <c r="I67">
        <v>9</v>
      </c>
      <c r="J67">
        <v>82.490421455938701</v>
      </c>
      <c r="N67" s="1"/>
      <c r="P67">
        <v>9</v>
      </c>
      <c r="Q67">
        <v>49.29782082324455</v>
      </c>
      <c r="W67">
        <v>7</v>
      </c>
      <c r="X67">
        <v>66.078431372549019</v>
      </c>
      <c r="AD67">
        <v>7</v>
      </c>
      <c r="AE67">
        <v>40.670289855072461</v>
      </c>
    </row>
    <row r="68" spans="1:33" x14ac:dyDescent="0.2">
      <c r="B68">
        <v>10</v>
      </c>
      <c r="C68">
        <v>76.25</v>
      </c>
      <c r="I68">
        <v>10</v>
      </c>
      <c r="J68">
        <v>73.899371069182394</v>
      </c>
      <c r="N68" s="1"/>
      <c r="P68">
        <v>10</v>
      </c>
      <c r="Q68">
        <v>72.807017543859644</v>
      </c>
      <c r="W68">
        <v>8</v>
      </c>
      <c r="X68">
        <v>41.607565011820334</v>
      </c>
      <c r="AD68">
        <v>8</v>
      </c>
      <c r="AE68">
        <v>30</v>
      </c>
    </row>
    <row r="69" spans="1:33" x14ac:dyDescent="0.2">
      <c r="B69">
        <v>11</v>
      </c>
      <c r="C69">
        <v>75.246305418719217</v>
      </c>
      <c r="I69">
        <v>11</v>
      </c>
      <c r="J69">
        <v>73.886639676113361</v>
      </c>
      <c r="N69" s="1"/>
      <c r="P69">
        <v>11</v>
      </c>
      <c r="Q69">
        <v>72.222222222222229</v>
      </c>
      <c r="W69">
        <v>9</v>
      </c>
      <c r="X69">
        <v>50.502873563218387</v>
      </c>
      <c r="AD69">
        <v>9</v>
      </c>
      <c r="AE69">
        <v>39.607843137254903</v>
      </c>
    </row>
    <row r="70" spans="1:33" x14ac:dyDescent="0.2">
      <c r="B70">
        <v>12</v>
      </c>
      <c r="C70">
        <v>78.955007256894049</v>
      </c>
      <c r="I70">
        <v>12</v>
      </c>
      <c r="J70">
        <v>69.313669880884845</v>
      </c>
      <c r="N70" s="1"/>
      <c r="P70">
        <v>12</v>
      </c>
      <c r="Q70">
        <v>66.013071895424844</v>
      </c>
      <c r="W70">
        <v>10</v>
      </c>
      <c r="X70">
        <v>40.198511166253098</v>
      </c>
      <c r="AD70">
        <v>10</v>
      </c>
      <c r="AE70">
        <v>31.25925925925926</v>
      </c>
    </row>
    <row r="71" spans="1:33" x14ac:dyDescent="0.2">
      <c r="N71" s="1"/>
      <c r="W71">
        <v>11</v>
      </c>
      <c r="X71">
        <v>57.777777777777779</v>
      </c>
      <c r="AD71">
        <v>11</v>
      </c>
      <c r="AE71">
        <v>31.385927505330489</v>
      </c>
    </row>
    <row r="72" spans="1:33" x14ac:dyDescent="0.2">
      <c r="A72" t="s">
        <v>5</v>
      </c>
      <c r="B72" t="s">
        <v>1</v>
      </c>
      <c r="C72" t="s">
        <v>2</v>
      </c>
      <c r="D72" t="s">
        <v>4</v>
      </c>
      <c r="E72" t="s">
        <v>95</v>
      </c>
      <c r="H72" t="s">
        <v>5</v>
      </c>
      <c r="I72" t="s">
        <v>1</v>
      </c>
      <c r="J72" t="s">
        <v>2</v>
      </c>
      <c r="K72" t="s">
        <v>4</v>
      </c>
      <c r="L72" t="s">
        <v>95</v>
      </c>
      <c r="N72" s="1"/>
      <c r="O72" t="s">
        <v>5</v>
      </c>
      <c r="P72" t="s">
        <v>1</v>
      </c>
      <c r="Q72" t="s">
        <v>2</v>
      </c>
      <c r="R72" t="s">
        <v>4</v>
      </c>
      <c r="S72" t="s">
        <v>95</v>
      </c>
      <c r="W72">
        <v>12</v>
      </c>
      <c r="X72">
        <v>58.441558441558442</v>
      </c>
      <c r="AD72">
        <v>12</v>
      </c>
      <c r="AE72">
        <v>-3.075489282385834</v>
      </c>
    </row>
    <row r="73" spans="1:33" ht="16" x14ac:dyDescent="0.25">
      <c r="A73" t="s">
        <v>34</v>
      </c>
      <c r="B73">
        <v>1</v>
      </c>
      <c r="C73">
        <v>46.753246753246756</v>
      </c>
      <c r="D73">
        <v>16.844530104334027</v>
      </c>
      <c r="E73" s="4">
        <f>STDEV(C73:C84) /SQRT(COUNT(C73:C84))</f>
        <v>4.5982743766358496</v>
      </c>
      <c r="H73" t="s">
        <v>49</v>
      </c>
      <c r="I73">
        <v>1</v>
      </c>
      <c r="J73">
        <v>50.712250712250707</v>
      </c>
      <c r="K73">
        <v>70.893668495931948</v>
      </c>
      <c r="L73" s="4">
        <f>STDEV(J73:J84) /SQRT(COUNT(J73:J84))</f>
        <v>4.0944446564607073</v>
      </c>
      <c r="N73" s="1"/>
      <c r="O73" t="s">
        <v>49</v>
      </c>
      <c r="P73">
        <v>1</v>
      </c>
      <c r="Q73">
        <v>38.888888888888886</v>
      </c>
      <c r="R73">
        <v>50.956554051000317</v>
      </c>
      <c r="S73" s="4">
        <f>STDEV(Q73:Q84) /SQRT(COUNT(Q73:Q84))</f>
        <v>4.2881351699345753</v>
      </c>
      <c r="V73" t="s">
        <v>5</v>
      </c>
      <c r="AC73" t="s">
        <v>5</v>
      </c>
    </row>
    <row r="74" spans="1:33" x14ac:dyDescent="0.2">
      <c r="A74" t="s">
        <v>234</v>
      </c>
      <c r="B74">
        <v>2</v>
      </c>
      <c r="C74">
        <v>26.666666666666668</v>
      </c>
      <c r="H74" t="s">
        <v>234</v>
      </c>
      <c r="I74">
        <v>2</v>
      </c>
      <c r="J74">
        <v>73.214285714285722</v>
      </c>
      <c r="N74" s="1"/>
      <c r="O74" t="s">
        <v>234</v>
      </c>
      <c r="P74">
        <v>2</v>
      </c>
      <c r="Q74">
        <v>22.5</v>
      </c>
      <c r="V74" t="s">
        <v>49</v>
      </c>
      <c r="W74" t="s">
        <v>1</v>
      </c>
      <c r="X74" t="s">
        <v>2</v>
      </c>
      <c r="Y74" t="s">
        <v>4</v>
      </c>
      <c r="Z74" t="s">
        <v>95</v>
      </c>
      <c r="AC74" t="s">
        <v>49</v>
      </c>
      <c r="AD74" t="s">
        <v>1</v>
      </c>
      <c r="AE74" t="s">
        <v>2</v>
      </c>
      <c r="AF74" t="s">
        <v>4</v>
      </c>
      <c r="AG74" t="s">
        <v>95</v>
      </c>
    </row>
    <row r="75" spans="1:33" ht="16" x14ac:dyDescent="0.25">
      <c r="B75">
        <v>3</v>
      </c>
      <c r="C75">
        <v>8.8235294117647065</v>
      </c>
      <c r="I75">
        <v>3</v>
      </c>
      <c r="J75">
        <v>40</v>
      </c>
      <c r="N75" s="1"/>
      <c r="P75">
        <v>3</v>
      </c>
      <c r="Q75">
        <v>40</v>
      </c>
      <c r="V75" t="s">
        <v>489</v>
      </c>
      <c r="W75">
        <v>1</v>
      </c>
      <c r="X75">
        <v>52.272727272727273</v>
      </c>
      <c r="Y75">
        <f>AVERAGE(X75:X86)</f>
        <v>36.837761683739167</v>
      </c>
      <c r="Z75" s="4">
        <f>STDEV(X75:X86) /SQRT(COUNT(X75:X86))</f>
        <v>6.6816538240222831</v>
      </c>
      <c r="AC75" t="s">
        <v>492</v>
      </c>
      <c r="AD75">
        <v>1</v>
      </c>
      <c r="AE75">
        <v>26.403326403326403</v>
      </c>
      <c r="AF75">
        <f>AVERAGE(AE75:AE86)</f>
        <v>26.116446071656132</v>
      </c>
      <c r="AG75" s="4">
        <f>STDEV(AE75:AE86) /SQRT(COUNT(AE75:AE86))</f>
        <v>5.2538160932366083</v>
      </c>
    </row>
    <row r="76" spans="1:33" x14ac:dyDescent="0.2">
      <c r="B76">
        <v>4</v>
      </c>
      <c r="C76">
        <v>16.25</v>
      </c>
      <c r="I76">
        <v>4</v>
      </c>
      <c r="J76">
        <v>94.73684210526315</v>
      </c>
      <c r="N76" s="1"/>
      <c r="P76">
        <v>4</v>
      </c>
      <c r="Q76">
        <v>58.888888888888886</v>
      </c>
      <c r="W76">
        <v>2</v>
      </c>
      <c r="X76">
        <v>63.186813186813183</v>
      </c>
      <c r="AD76">
        <v>2</v>
      </c>
      <c r="AE76">
        <v>10.859728506787329</v>
      </c>
    </row>
    <row r="77" spans="1:33" x14ac:dyDescent="0.2">
      <c r="B77">
        <v>5</v>
      </c>
      <c r="C77">
        <v>26.606606606606604</v>
      </c>
      <c r="I77">
        <v>5</v>
      </c>
      <c r="J77">
        <v>78.900709219858157</v>
      </c>
      <c r="N77" s="1"/>
      <c r="P77">
        <v>5</v>
      </c>
      <c r="Q77">
        <v>65.675675675675677</v>
      </c>
      <c r="W77">
        <v>3</v>
      </c>
      <c r="X77">
        <v>36.81818181818182</v>
      </c>
      <c r="AD77">
        <v>3</v>
      </c>
      <c r="AE77">
        <v>48.888888888888886</v>
      </c>
    </row>
    <row r="78" spans="1:33" x14ac:dyDescent="0.2">
      <c r="B78">
        <v>6</v>
      </c>
      <c r="C78">
        <v>15.151515151515152</v>
      </c>
      <c r="I78">
        <v>6</v>
      </c>
      <c r="J78">
        <v>74.068322981366464</v>
      </c>
      <c r="N78" s="1"/>
      <c r="P78">
        <v>6</v>
      </c>
      <c r="Q78">
        <v>35.326485693323548</v>
      </c>
      <c r="W78">
        <v>4</v>
      </c>
      <c r="X78">
        <v>36.308203991130817</v>
      </c>
      <c r="AD78">
        <v>4</v>
      </c>
      <c r="AE78">
        <v>20</v>
      </c>
    </row>
    <row r="79" spans="1:33" x14ac:dyDescent="0.2">
      <c r="B79">
        <v>7</v>
      </c>
      <c r="C79">
        <v>-1.2672811059907834</v>
      </c>
      <c r="I79">
        <v>7</v>
      </c>
      <c r="J79">
        <v>79.513888888888886</v>
      </c>
      <c r="N79" s="1"/>
      <c r="P79">
        <v>7</v>
      </c>
      <c r="Q79">
        <v>46.411483253588514</v>
      </c>
      <c r="W79">
        <v>5</v>
      </c>
      <c r="X79">
        <v>27.455399061032864</v>
      </c>
      <c r="AD79">
        <v>5</v>
      </c>
      <c r="AE79">
        <v>29.166666666666668</v>
      </c>
    </row>
    <row r="80" spans="1:33" x14ac:dyDescent="0.2">
      <c r="B80">
        <v>8</v>
      </c>
      <c r="C80">
        <v>14.838709677419356</v>
      </c>
      <c r="I80">
        <v>8</v>
      </c>
      <c r="J80">
        <v>64.835164835164832</v>
      </c>
      <c r="N80" s="1"/>
      <c r="P80">
        <v>8</v>
      </c>
      <c r="Q80">
        <v>53.036437246963558</v>
      </c>
      <c r="W80">
        <v>6</v>
      </c>
      <c r="X80">
        <v>48.660714285714285</v>
      </c>
      <c r="AD80">
        <v>6</v>
      </c>
      <c r="AE80">
        <v>11.666666666666668</v>
      </c>
    </row>
    <row r="81" spans="1:31" x14ac:dyDescent="0.2">
      <c r="B81">
        <v>9</v>
      </c>
      <c r="C81">
        <v>-2.2222222222222214</v>
      </c>
      <c r="I81">
        <v>9</v>
      </c>
      <c r="J81">
        <v>77.976190476190482</v>
      </c>
      <c r="N81" s="1"/>
      <c r="P81">
        <v>9</v>
      </c>
      <c r="Q81">
        <v>61.666666666666664</v>
      </c>
      <c r="W81">
        <v>7</v>
      </c>
      <c r="X81">
        <v>66.983695652173907</v>
      </c>
      <c r="AD81">
        <v>7</v>
      </c>
      <c r="AE81">
        <v>39.816933638443935</v>
      </c>
    </row>
    <row r="82" spans="1:31" x14ac:dyDescent="0.2">
      <c r="B82">
        <v>10</v>
      </c>
      <c r="C82">
        <v>4.2780748663101607</v>
      </c>
      <c r="I82">
        <v>10</v>
      </c>
      <c r="J82">
        <v>75.297619047619051</v>
      </c>
      <c r="N82" s="1"/>
      <c r="P82">
        <v>10</v>
      </c>
      <c r="Q82">
        <v>63.333333333333336</v>
      </c>
      <c r="W82">
        <v>8</v>
      </c>
      <c r="X82">
        <v>10.187110187110187</v>
      </c>
      <c r="AD82">
        <v>8</v>
      </c>
      <c r="AE82">
        <v>17.857142857142858</v>
      </c>
    </row>
    <row r="83" spans="1:31" x14ac:dyDescent="0.2">
      <c r="B83">
        <v>11</v>
      </c>
      <c r="C83">
        <v>-14.066496163682867</v>
      </c>
      <c r="I83">
        <v>11</v>
      </c>
      <c r="J83">
        <v>67.379679144385022</v>
      </c>
      <c r="N83" s="1"/>
      <c r="P83">
        <v>11</v>
      </c>
      <c r="Q83">
        <v>74.07614781634939</v>
      </c>
      <c r="W83">
        <v>9</v>
      </c>
      <c r="X83">
        <v>-13.636363636363637</v>
      </c>
      <c r="AD83">
        <v>9</v>
      </c>
      <c r="AE83">
        <v>-14.6875</v>
      </c>
    </row>
    <row r="84" spans="1:31" x14ac:dyDescent="0.2">
      <c r="B84">
        <v>12</v>
      </c>
      <c r="C84">
        <v>12.89490651192779</v>
      </c>
      <c r="I84">
        <v>12</v>
      </c>
      <c r="J84">
        <v>74.089068825910928</v>
      </c>
      <c r="N84" s="1"/>
      <c r="P84">
        <v>12</v>
      </c>
      <c r="Q84">
        <v>51.674641148325357</v>
      </c>
      <c r="W84">
        <v>10</v>
      </c>
      <c r="X84">
        <v>30.967741935483872</v>
      </c>
      <c r="AD84">
        <v>10</v>
      </c>
      <c r="AE84">
        <v>36.111111111111114</v>
      </c>
    </row>
    <row r="85" spans="1:31" x14ac:dyDescent="0.2">
      <c r="N85" s="1"/>
      <c r="W85">
        <v>11</v>
      </c>
      <c r="X85">
        <v>25.78369905956113</v>
      </c>
      <c r="AD85">
        <v>11</v>
      </c>
      <c r="AE85">
        <v>44.13978494623656</v>
      </c>
    </row>
    <row r="86" spans="1:31" x14ac:dyDescent="0.2">
      <c r="A86" s="2" t="s">
        <v>6</v>
      </c>
      <c r="H86" s="2" t="s">
        <v>6</v>
      </c>
      <c r="N86" s="1"/>
      <c r="O86" s="2" t="s">
        <v>6</v>
      </c>
      <c r="W86">
        <v>12</v>
      </c>
      <c r="X86">
        <v>57.065217391304344</v>
      </c>
      <c r="AD86">
        <v>12</v>
      </c>
      <c r="AE86">
        <v>43.174603174603178</v>
      </c>
    </row>
    <row r="87" spans="1:31" x14ac:dyDescent="0.2">
      <c r="A87" s="2" t="s">
        <v>18</v>
      </c>
      <c r="H87" s="2" t="s">
        <v>7</v>
      </c>
      <c r="N87" s="1"/>
      <c r="O87" s="2" t="s">
        <v>18</v>
      </c>
    </row>
    <row r="88" spans="1:31" x14ac:dyDescent="0.2">
      <c r="A88" s="2" t="s">
        <v>235</v>
      </c>
      <c r="H88" s="2" t="s">
        <v>265</v>
      </c>
      <c r="N88" s="1"/>
      <c r="O88" s="2" t="s">
        <v>281</v>
      </c>
    </row>
    <row r="89" spans="1:31" x14ac:dyDescent="0.2">
      <c r="A89" s="2" t="s">
        <v>236</v>
      </c>
      <c r="H89" s="2" t="s">
        <v>266</v>
      </c>
      <c r="N89" s="1"/>
      <c r="O89" s="2" t="s">
        <v>282</v>
      </c>
    </row>
    <row r="90" spans="1:31" x14ac:dyDescent="0.2">
      <c r="A90" s="2" t="s">
        <v>237</v>
      </c>
      <c r="H90" s="2" t="s">
        <v>267</v>
      </c>
      <c r="N90" s="1"/>
      <c r="O90" s="2" t="s">
        <v>283</v>
      </c>
    </row>
    <row r="91" spans="1:31" x14ac:dyDescent="0.2">
      <c r="A91" s="2" t="s">
        <v>238</v>
      </c>
      <c r="H91" s="2" t="s">
        <v>268</v>
      </c>
      <c r="N91" s="1"/>
      <c r="O91" s="2" t="s">
        <v>284</v>
      </c>
    </row>
    <row r="92" spans="1:31" x14ac:dyDescent="0.2">
      <c r="A92" s="2" t="s">
        <v>239</v>
      </c>
      <c r="H92" s="2" t="s">
        <v>269</v>
      </c>
      <c r="N92" s="1"/>
      <c r="O92" s="2" t="s">
        <v>285</v>
      </c>
    </row>
    <row r="93" spans="1:31" x14ac:dyDescent="0.2">
      <c r="A93" s="2" t="s">
        <v>240</v>
      </c>
      <c r="H93" s="2" t="s">
        <v>270</v>
      </c>
      <c r="N93" s="1"/>
      <c r="O93" s="2" t="s">
        <v>286</v>
      </c>
    </row>
    <row r="94" spans="1:31" x14ac:dyDescent="0.2">
      <c r="A94" s="2" t="s">
        <v>241</v>
      </c>
      <c r="H94" s="2" t="s">
        <v>271</v>
      </c>
      <c r="N94" s="1"/>
      <c r="O94" s="2" t="s">
        <v>287</v>
      </c>
    </row>
    <row r="95" spans="1:31" x14ac:dyDescent="0.2">
      <c r="A95" s="2" t="s">
        <v>242</v>
      </c>
      <c r="H95" s="2" t="s">
        <v>272</v>
      </c>
      <c r="N95" s="1"/>
      <c r="O95" s="2" t="s">
        <v>288</v>
      </c>
    </row>
    <row r="96" spans="1:31" x14ac:dyDescent="0.2">
      <c r="A96" s="2" t="s">
        <v>243</v>
      </c>
      <c r="H96" s="2" t="s">
        <v>273</v>
      </c>
      <c r="N96" s="1"/>
      <c r="O96" s="2" t="s">
        <v>289</v>
      </c>
    </row>
    <row r="97" spans="1:102" x14ac:dyDescent="0.2">
      <c r="A97" s="2" t="s">
        <v>244</v>
      </c>
      <c r="H97" s="2" t="s">
        <v>274</v>
      </c>
      <c r="N97" s="1"/>
      <c r="O97" s="2" t="s">
        <v>290</v>
      </c>
    </row>
    <row r="98" spans="1:102" x14ac:dyDescent="0.2">
      <c r="A98" s="2" t="s">
        <v>245</v>
      </c>
      <c r="H98" s="2" t="s">
        <v>275</v>
      </c>
      <c r="N98" s="1"/>
      <c r="O98" s="2" t="s">
        <v>291</v>
      </c>
    </row>
    <row r="99" spans="1:102" x14ac:dyDescent="0.2">
      <c r="A99" s="2" t="s">
        <v>246</v>
      </c>
      <c r="H99" s="2" t="s">
        <v>276</v>
      </c>
      <c r="N99" s="1"/>
      <c r="O99" s="2" t="s">
        <v>292</v>
      </c>
    </row>
    <row r="100" spans="1:102" x14ac:dyDescent="0.2">
      <c r="A100" s="2" t="s">
        <v>247</v>
      </c>
      <c r="H100" s="2" t="s">
        <v>277</v>
      </c>
      <c r="N100" s="1"/>
      <c r="O100" s="2" t="s">
        <v>293</v>
      </c>
    </row>
    <row r="101" spans="1:102" x14ac:dyDescent="0.2">
      <c r="A101" s="2" t="s">
        <v>248</v>
      </c>
      <c r="H101" s="2" t="s">
        <v>278</v>
      </c>
      <c r="N101" s="1"/>
      <c r="O101" s="2" t="s">
        <v>294</v>
      </c>
    </row>
    <row r="102" spans="1:102" x14ac:dyDescent="0.2">
      <c r="A102" s="2" t="s">
        <v>249</v>
      </c>
      <c r="H102" s="2" t="s">
        <v>279</v>
      </c>
      <c r="N102" s="1"/>
      <c r="O102" s="2" t="s">
        <v>295</v>
      </c>
    </row>
    <row r="103" spans="1:102" x14ac:dyDescent="0.2">
      <c r="A103" s="2" t="s">
        <v>37</v>
      </c>
      <c r="H103" s="3" t="s">
        <v>13</v>
      </c>
      <c r="N103" s="1"/>
      <c r="O103" s="2" t="s">
        <v>37</v>
      </c>
    </row>
    <row r="104" spans="1:102" x14ac:dyDescent="0.2">
      <c r="A104" s="2" t="s">
        <v>38</v>
      </c>
      <c r="N104" s="1"/>
      <c r="O104" s="2" t="s">
        <v>38</v>
      </c>
    </row>
    <row r="105" spans="1:102" x14ac:dyDescent="0.2">
      <c r="A105" s="3" t="s">
        <v>13</v>
      </c>
      <c r="N105" s="1"/>
      <c r="O105" s="2" t="s">
        <v>13</v>
      </c>
    </row>
    <row r="106" spans="1:102" x14ac:dyDescent="0.2">
      <c r="N106" s="1"/>
    </row>
    <row r="107" spans="1:102" s="1" customFormat="1" x14ac:dyDescent="0.2">
      <c r="V107"/>
      <c r="W107"/>
      <c r="X107"/>
      <c r="Y107"/>
      <c r="Z107"/>
      <c r="AA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</row>
    <row r="108" spans="1:102" x14ac:dyDescent="0.2">
      <c r="A108" t="s">
        <v>493</v>
      </c>
      <c r="C108" t="s">
        <v>391</v>
      </c>
    </row>
    <row r="109" spans="1:102" x14ac:dyDescent="0.2">
      <c r="A109" t="s">
        <v>61</v>
      </c>
      <c r="B109" t="s">
        <v>1</v>
      </c>
      <c r="C109" t="s">
        <v>2</v>
      </c>
      <c r="D109" t="s">
        <v>4</v>
      </c>
      <c r="E109" t="s">
        <v>95</v>
      </c>
    </row>
    <row r="110" spans="1:102" ht="16" x14ac:dyDescent="0.25">
      <c r="A110" t="s">
        <v>32</v>
      </c>
      <c r="B110">
        <v>1</v>
      </c>
      <c r="C110">
        <v>28.606237816764132</v>
      </c>
      <c r="D110">
        <f>AVERAGE(C110:C121)</f>
        <v>43.605410147695721</v>
      </c>
      <c r="E110" s="4">
        <f>STDEV(C110:C121) /SQRT(COUNT(C110:C121))</f>
        <v>2.9192177837461948</v>
      </c>
    </row>
    <row r="111" spans="1:102" ht="16" x14ac:dyDescent="0.25">
      <c r="B111">
        <v>2</v>
      </c>
      <c r="C111">
        <v>48.151898734177216</v>
      </c>
      <c r="J111" s="4"/>
      <c r="N111" s="4"/>
    </row>
    <row r="112" spans="1:102" x14ac:dyDescent="0.2">
      <c r="B112">
        <v>3</v>
      </c>
      <c r="C112">
        <v>56.00222562247879</v>
      </c>
    </row>
    <row r="113" spans="1:5" x14ac:dyDescent="0.2">
      <c r="B113">
        <v>4</v>
      </c>
      <c r="C113">
        <v>56.36363636363636</v>
      </c>
    </row>
    <row r="114" spans="1:5" x14ac:dyDescent="0.2">
      <c r="B114">
        <v>5</v>
      </c>
      <c r="C114">
        <v>32.63271939328277</v>
      </c>
    </row>
    <row r="115" spans="1:5" x14ac:dyDescent="0.2">
      <c r="B115">
        <v>6</v>
      </c>
      <c r="C115">
        <v>37.843042850264801</v>
      </c>
    </row>
    <row r="116" spans="1:5" x14ac:dyDescent="0.2">
      <c r="B116">
        <v>7</v>
      </c>
      <c r="C116">
        <v>47.693685624720111</v>
      </c>
    </row>
    <row r="117" spans="1:5" x14ac:dyDescent="0.2">
      <c r="B117">
        <v>8</v>
      </c>
      <c r="C117">
        <v>50.434782608695656</v>
      </c>
    </row>
    <row r="118" spans="1:5" x14ac:dyDescent="0.2">
      <c r="B118">
        <v>9</v>
      </c>
      <c r="C118">
        <v>34.944684944684944</v>
      </c>
    </row>
    <row r="119" spans="1:5" x14ac:dyDescent="0.2">
      <c r="B119">
        <v>10</v>
      </c>
      <c r="C119">
        <v>44.306930693069305</v>
      </c>
    </row>
    <row r="120" spans="1:5" x14ac:dyDescent="0.2">
      <c r="B120">
        <v>11</v>
      </c>
      <c r="C120">
        <v>31.525851197982345</v>
      </c>
    </row>
    <row r="121" spans="1:5" x14ac:dyDescent="0.2">
      <c r="B121">
        <v>12</v>
      </c>
      <c r="C121">
        <v>54.759225922592265</v>
      </c>
    </row>
    <row r="123" spans="1:5" x14ac:dyDescent="0.2">
      <c r="A123" t="s">
        <v>3</v>
      </c>
      <c r="B123" t="s">
        <v>1</v>
      </c>
      <c r="C123" t="s">
        <v>2</v>
      </c>
      <c r="D123" t="s">
        <v>4</v>
      </c>
      <c r="E123" t="s">
        <v>95</v>
      </c>
    </row>
    <row r="124" spans="1:5" ht="16" x14ac:dyDescent="0.25">
      <c r="A124" t="s">
        <v>48</v>
      </c>
      <c r="B124">
        <v>1</v>
      </c>
      <c r="C124">
        <v>57.345433919455473</v>
      </c>
      <c r="D124">
        <f>AVERAGE(C124:C135)</f>
        <v>50.970097639826896</v>
      </c>
      <c r="E124" s="4">
        <f>STDEV(C124:C135) /SQRT(COUNT(C124:C135))</f>
        <v>3.8247001437782893</v>
      </c>
    </row>
    <row r="125" spans="1:5" x14ac:dyDescent="0.2">
      <c r="B125">
        <v>2</v>
      </c>
      <c r="C125">
        <v>25.462962962962962</v>
      </c>
    </row>
    <row r="126" spans="1:5" x14ac:dyDescent="0.2">
      <c r="B126">
        <v>3</v>
      </c>
      <c r="C126">
        <v>69.674185463659143</v>
      </c>
    </row>
    <row r="127" spans="1:5" x14ac:dyDescent="0.2">
      <c r="B127">
        <v>4</v>
      </c>
      <c r="C127">
        <v>67.032730404823425</v>
      </c>
    </row>
    <row r="128" spans="1:5" x14ac:dyDescent="0.2">
      <c r="B128">
        <v>5</v>
      </c>
      <c r="C128">
        <v>60.344827586206897</v>
      </c>
    </row>
    <row r="129" spans="1:5" x14ac:dyDescent="0.2">
      <c r="B129">
        <v>6</v>
      </c>
      <c r="C129">
        <v>48.701754385964911</v>
      </c>
    </row>
    <row r="130" spans="1:5" x14ac:dyDescent="0.2">
      <c r="B130">
        <v>7</v>
      </c>
      <c r="C130">
        <v>50.439882697947212</v>
      </c>
    </row>
    <row r="131" spans="1:5" x14ac:dyDescent="0.2">
      <c r="B131">
        <v>8</v>
      </c>
      <c r="C131">
        <v>38.818878181368916</v>
      </c>
    </row>
    <row r="132" spans="1:5" x14ac:dyDescent="0.2">
      <c r="B132">
        <v>9</v>
      </c>
      <c r="C132">
        <v>49.254426840633734</v>
      </c>
    </row>
    <row r="133" spans="1:5" x14ac:dyDescent="0.2">
      <c r="B133">
        <v>10</v>
      </c>
      <c r="C133">
        <v>35.791090629800308</v>
      </c>
    </row>
    <row r="134" spans="1:5" x14ac:dyDescent="0.2">
      <c r="B134">
        <v>11</v>
      </c>
      <c r="C134">
        <v>62.577815506508202</v>
      </c>
    </row>
    <row r="135" spans="1:5" x14ac:dyDescent="0.2">
      <c r="B135">
        <v>12</v>
      </c>
      <c r="C135">
        <v>46.197183098591552</v>
      </c>
    </row>
    <row r="137" spans="1:5" x14ac:dyDescent="0.2">
      <c r="A137" t="s">
        <v>5</v>
      </c>
      <c r="B137" t="s">
        <v>1</v>
      </c>
      <c r="C137" t="s">
        <v>2</v>
      </c>
      <c r="D137" t="s">
        <v>4</v>
      </c>
      <c r="E137" t="s">
        <v>95</v>
      </c>
    </row>
    <row r="138" spans="1:5" ht="16" x14ac:dyDescent="0.25">
      <c r="A138" t="s">
        <v>297</v>
      </c>
      <c r="B138">
        <v>1</v>
      </c>
      <c r="C138">
        <v>26.276276276276278</v>
      </c>
      <c r="D138">
        <f>AVERAGE(C138:C149)</f>
        <v>18.707272397437055</v>
      </c>
      <c r="E138" s="4">
        <f>STDEV(C138:C149) /SQRT(COUNT(C138:C149))</f>
        <v>3.0300601778310114</v>
      </c>
    </row>
    <row r="139" spans="1:5" x14ac:dyDescent="0.2">
      <c r="B139">
        <v>2</v>
      </c>
      <c r="C139">
        <v>29.761904761904759</v>
      </c>
    </row>
    <row r="140" spans="1:5" x14ac:dyDescent="0.2">
      <c r="B140">
        <v>3</v>
      </c>
      <c r="C140">
        <v>1.9047619047619051</v>
      </c>
    </row>
    <row r="141" spans="1:5" x14ac:dyDescent="0.2">
      <c r="B141">
        <v>4</v>
      </c>
      <c r="C141">
        <v>32.575757575757571</v>
      </c>
    </row>
    <row r="142" spans="1:5" x14ac:dyDescent="0.2">
      <c r="B142">
        <v>5</v>
      </c>
      <c r="C142">
        <v>6.7715458276333784</v>
      </c>
    </row>
    <row r="143" spans="1:5" x14ac:dyDescent="0.2">
      <c r="B143">
        <v>6</v>
      </c>
      <c r="C143">
        <v>13.339920948616601</v>
      </c>
    </row>
    <row r="144" spans="1:5" x14ac:dyDescent="0.2">
      <c r="B144">
        <v>7</v>
      </c>
      <c r="C144">
        <v>15.911730545876887</v>
      </c>
    </row>
    <row r="145" spans="1:5" x14ac:dyDescent="0.2">
      <c r="B145">
        <v>8</v>
      </c>
      <c r="C145">
        <v>17.378917378917379</v>
      </c>
    </row>
    <row r="146" spans="1:5" x14ac:dyDescent="0.2">
      <c r="B146">
        <v>9</v>
      </c>
      <c r="C146">
        <v>36.068376068376068</v>
      </c>
    </row>
    <row r="147" spans="1:5" x14ac:dyDescent="0.2">
      <c r="B147">
        <v>10</v>
      </c>
      <c r="C147">
        <v>18.888888888888889</v>
      </c>
    </row>
    <row r="148" spans="1:5" x14ac:dyDescent="0.2">
      <c r="B148">
        <v>11</v>
      </c>
      <c r="C148">
        <v>11.101766190075695</v>
      </c>
    </row>
    <row r="149" spans="1:5" x14ac:dyDescent="0.2">
      <c r="B149">
        <v>12</v>
      </c>
      <c r="C149">
        <v>14.507422402159243</v>
      </c>
    </row>
    <row r="151" spans="1:5" x14ac:dyDescent="0.2">
      <c r="A151" t="s">
        <v>298</v>
      </c>
      <c r="B151" t="s">
        <v>1</v>
      </c>
      <c r="C151" t="s">
        <v>2</v>
      </c>
      <c r="D151" t="s">
        <v>4</v>
      </c>
      <c r="E151" t="s">
        <v>95</v>
      </c>
    </row>
    <row r="152" spans="1:5" ht="16" x14ac:dyDescent="0.25">
      <c r="A152" t="s">
        <v>299</v>
      </c>
      <c r="B152">
        <v>1</v>
      </c>
      <c r="C152">
        <v>31.612903225806452</v>
      </c>
      <c r="D152">
        <f>AVERAGE(C152:C163)</f>
        <v>31.333537700018908</v>
      </c>
      <c r="E152" s="4">
        <f>STDEV(C152:C163) /SQRT(COUNT(C152:C163))</f>
        <v>3.4828375366081263</v>
      </c>
    </row>
    <row r="153" spans="1:5" x14ac:dyDescent="0.2">
      <c r="B153">
        <v>2</v>
      </c>
      <c r="C153">
        <v>47.474747474747474</v>
      </c>
    </row>
    <row r="154" spans="1:5" x14ac:dyDescent="0.2">
      <c r="B154">
        <v>3</v>
      </c>
      <c r="C154">
        <v>49.87163029525032</v>
      </c>
    </row>
    <row r="155" spans="1:5" x14ac:dyDescent="0.2">
      <c r="B155">
        <v>4</v>
      </c>
      <c r="C155">
        <v>27.777777777777779</v>
      </c>
    </row>
    <row r="156" spans="1:5" x14ac:dyDescent="0.2">
      <c r="B156">
        <v>5</v>
      </c>
      <c r="C156">
        <v>36.666666666666671</v>
      </c>
    </row>
    <row r="157" spans="1:5" x14ac:dyDescent="0.2">
      <c r="B157">
        <v>6</v>
      </c>
      <c r="C157">
        <v>17.708333333333332</v>
      </c>
    </row>
    <row r="158" spans="1:5" x14ac:dyDescent="0.2">
      <c r="B158">
        <v>7</v>
      </c>
      <c r="C158">
        <v>24.677419354838712</v>
      </c>
    </row>
    <row r="159" spans="1:5" x14ac:dyDescent="0.2">
      <c r="B159">
        <v>8</v>
      </c>
      <c r="C159">
        <v>29.147465437788021</v>
      </c>
    </row>
    <row r="160" spans="1:5" x14ac:dyDescent="0.2">
      <c r="B160">
        <v>9</v>
      </c>
      <c r="C160">
        <v>27.322206095791</v>
      </c>
    </row>
    <row r="161" spans="1:6" x14ac:dyDescent="0.2">
      <c r="B161">
        <v>10</v>
      </c>
      <c r="C161">
        <v>47.995666305525461</v>
      </c>
    </row>
    <row r="162" spans="1:6" x14ac:dyDescent="0.2">
      <c r="B162">
        <v>11</v>
      </c>
      <c r="C162">
        <v>12.171052631578949</v>
      </c>
    </row>
    <row r="163" spans="1:6" x14ac:dyDescent="0.2">
      <c r="B163">
        <v>12</v>
      </c>
      <c r="C163">
        <v>23.576583801122695</v>
      </c>
    </row>
    <row r="165" spans="1:6" x14ac:dyDescent="0.2">
      <c r="A165" t="s">
        <v>6</v>
      </c>
    </row>
    <row r="166" spans="1:6" x14ac:dyDescent="0.2">
      <c r="A166" s="2" t="s">
        <v>18</v>
      </c>
    </row>
    <row r="167" spans="1:6" x14ac:dyDescent="0.2">
      <c r="A167" s="2" t="s">
        <v>439</v>
      </c>
    </row>
    <row r="168" spans="1:6" x14ac:dyDescent="0.2">
      <c r="A168" s="2" t="s">
        <v>440</v>
      </c>
    </row>
    <row r="169" spans="1:6" x14ac:dyDescent="0.2">
      <c r="A169" s="2" t="s">
        <v>441</v>
      </c>
    </row>
    <row r="170" spans="1:6" x14ac:dyDescent="0.2">
      <c r="A170" s="3" t="s">
        <v>442</v>
      </c>
    </row>
    <row r="171" spans="1:6" x14ac:dyDescent="0.2">
      <c r="A171" s="6" t="s">
        <v>443</v>
      </c>
      <c r="B171" s="7"/>
      <c r="C171" s="7"/>
      <c r="D171" s="7"/>
      <c r="E171" s="7"/>
      <c r="F171" s="7"/>
    </row>
    <row r="172" spans="1:6" x14ac:dyDescent="0.2">
      <c r="A172" s="7" t="s">
        <v>444</v>
      </c>
      <c r="B172" s="7"/>
      <c r="C172" s="7"/>
      <c r="D172" s="7"/>
      <c r="E172" s="7"/>
      <c r="F172" s="7"/>
    </row>
    <row r="173" spans="1:6" x14ac:dyDescent="0.2">
      <c r="A173" s="7" t="s">
        <v>37</v>
      </c>
      <c r="B173" s="7"/>
      <c r="C173" s="7"/>
      <c r="D173" s="7"/>
      <c r="E173" s="7"/>
      <c r="F173" s="7"/>
    </row>
    <row r="174" spans="1:6" x14ac:dyDescent="0.2">
      <c r="A174" s="6" t="s">
        <v>38</v>
      </c>
      <c r="B174" s="6"/>
      <c r="C174" s="6"/>
      <c r="D174" s="7"/>
      <c r="E174" s="7"/>
      <c r="F174" s="7"/>
    </row>
    <row r="175" spans="1:6" x14ac:dyDescent="0.2">
      <c r="A175" s="6" t="s">
        <v>13</v>
      </c>
      <c r="B175" s="6"/>
      <c r="C175" s="6"/>
      <c r="D175" s="7"/>
      <c r="E175" s="7"/>
      <c r="F175" s="7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7DE9-2725-4EF0-9B0A-DE92621437A0}">
  <dimension ref="A1:Z86"/>
  <sheetViews>
    <sheetView topLeftCell="I1" workbookViewId="0">
      <selection activeCell="V72" sqref="V72:V86"/>
    </sheetView>
  </sheetViews>
  <sheetFormatPr baseColWidth="10" defaultColWidth="11.5" defaultRowHeight="15" x14ac:dyDescent="0.2"/>
  <cols>
    <col min="7" max="7" width="11.5" style="1"/>
    <col min="14" max="14" width="11.5" style="1"/>
    <col min="21" max="21" width="11.5" style="1"/>
  </cols>
  <sheetData>
    <row r="1" spans="1:26" x14ac:dyDescent="0.2">
      <c r="A1" t="s">
        <v>9</v>
      </c>
      <c r="C1" t="s">
        <v>391</v>
      </c>
      <c r="H1" t="s">
        <v>10</v>
      </c>
      <c r="J1" t="s">
        <v>391</v>
      </c>
      <c r="O1" t="s">
        <v>11</v>
      </c>
      <c r="Q1" t="s">
        <v>391</v>
      </c>
      <c r="V1" t="s">
        <v>12</v>
      </c>
      <c r="X1" t="s">
        <v>391</v>
      </c>
    </row>
    <row r="2" spans="1:26" x14ac:dyDescent="0.2">
      <c r="A2" t="s">
        <v>61</v>
      </c>
      <c r="B2" t="s">
        <v>1</v>
      </c>
      <c r="C2" t="s">
        <v>2</v>
      </c>
      <c r="D2" t="s">
        <v>4</v>
      </c>
      <c r="E2" t="s">
        <v>95</v>
      </c>
      <c r="H2" t="s">
        <v>61</v>
      </c>
      <c r="I2" t="s">
        <v>1</v>
      </c>
      <c r="J2" t="s">
        <v>2</v>
      </c>
      <c r="K2" t="s">
        <v>4</v>
      </c>
      <c r="L2" t="s">
        <v>95</v>
      </c>
      <c r="O2" t="s">
        <v>61</v>
      </c>
      <c r="P2" t="s">
        <v>1</v>
      </c>
      <c r="Q2" t="s">
        <v>2</v>
      </c>
      <c r="R2" t="s">
        <v>4</v>
      </c>
      <c r="S2" t="s">
        <v>95</v>
      </c>
      <c r="V2" t="s">
        <v>61</v>
      </c>
      <c r="W2" t="s">
        <v>1</v>
      </c>
      <c r="X2" t="s">
        <v>2</v>
      </c>
      <c r="Y2" t="s">
        <v>4</v>
      </c>
      <c r="Z2" t="s">
        <v>95</v>
      </c>
    </row>
    <row r="3" spans="1:26" ht="16" x14ac:dyDescent="0.25">
      <c r="A3" t="s">
        <v>20</v>
      </c>
      <c r="B3">
        <v>1</v>
      </c>
      <c r="C3">
        <v>35.714285714285715</v>
      </c>
      <c r="D3">
        <f>AVERAGE(C3:C12)</f>
        <v>42.249198996832327</v>
      </c>
      <c r="E3">
        <f>STDEV(C3:C12) /SQRT(COUNT(C3:C12))</f>
        <v>4.2063058737601482</v>
      </c>
      <c r="H3" t="s">
        <v>24</v>
      </c>
      <c r="I3">
        <v>1</v>
      </c>
      <c r="J3">
        <v>10.436432637571158</v>
      </c>
      <c r="K3">
        <f>AVERAGE(J3:J10)</f>
        <v>39.368817693411486</v>
      </c>
      <c r="L3">
        <f>STDEV(J3:J10) /SQRT(COUNT(J3:J10))</f>
        <v>7.0032254555464393</v>
      </c>
      <c r="O3" t="s">
        <v>25</v>
      </c>
      <c r="P3">
        <v>1</v>
      </c>
      <c r="Q3">
        <v>25.542005420054199</v>
      </c>
      <c r="R3">
        <f>AVERAGE(Q3:Q10)</f>
        <v>31.126531741080598</v>
      </c>
      <c r="S3">
        <f>STDEV(Q3:Q10) /SQRT(COUNT(Q3:Q10))</f>
        <v>7.0225624470134234</v>
      </c>
      <c r="V3" t="s">
        <v>349</v>
      </c>
      <c r="W3">
        <v>1</v>
      </c>
      <c r="X3">
        <v>47.727272727272727</v>
      </c>
      <c r="Y3">
        <f>AVERAGE(X3:X14)</f>
        <v>59.185452122558452</v>
      </c>
      <c r="Z3" s="4">
        <f>STDEV(X3:X14) /SQRT(COUNT(X3:X14))</f>
        <v>2.6535400142384984</v>
      </c>
    </row>
    <row r="4" spans="1:26" x14ac:dyDescent="0.2">
      <c r="A4" t="s">
        <v>21</v>
      </c>
      <c r="B4">
        <v>2</v>
      </c>
      <c r="C4">
        <v>24.418604651162791</v>
      </c>
      <c r="H4" t="s">
        <v>21</v>
      </c>
      <c r="I4">
        <v>2</v>
      </c>
      <c r="J4">
        <v>17.846153846153847</v>
      </c>
      <c r="O4" t="s">
        <v>21</v>
      </c>
      <c r="P4">
        <v>2</v>
      </c>
      <c r="Q4">
        <v>-7.8231292517006796</v>
      </c>
      <c r="W4">
        <v>2</v>
      </c>
      <c r="X4">
        <v>68.235294117647058</v>
      </c>
    </row>
    <row r="5" spans="1:26" x14ac:dyDescent="0.2">
      <c r="B5">
        <v>3</v>
      </c>
      <c r="C5">
        <v>50.555555555555557</v>
      </c>
      <c r="I5">
        <v>3</v>
      </c>
      <c r="J5">
        <v>48.244147157190632</v>
      </c>
      <c r="P5">
        <v>3</v>
      </c>
      <c r="Q5">
        <v>16.10381488430269</v>
      </c>
      <c r="W5">
        <v>3</v>
      </c>
      <c r="X5">
        <v>69.504643962848291</v>
      </c>
    </row>
    <row r="6" spans="1:26" x14ac:dyDescent="0.2">
      <c r="B6">
        <v>4</v>
      </c>
      <c r="C6">
        <v>52.142857142857146</v>
      </c>
      <c r="I6">
        <v>4</v>
      </c>
      <c r="J6">
        <v>23.273273273273272</v>
      </c>
      <c r="P6">
        <v>4</v>
      </c>
      <c r="Q6">
        <v>35.995370370370367</v>
      </c>
      <c r="W6">
        <v>4</v>
      </c>
      <c r="X6">
        <v>53.116883116883116</v>
      </c>
    </row>
    <row r="7" spans="1:26" x14ac:dyDescent="0.2">
      <c r="B7">
        <v>5</v>
      </c>
      <c r="C7">
        <v>18.666666666666668</v>
      </c>
      <c r="I7">
        <v>5</v>
      </c>
      <c r="J7">
        <v>55.686274509803923</v>
      </c>
      <c r="P7">
        <v>5</v>
      </c>
      <c r="Q7">
        <v>56.183574879227052</v>
      </c>
      <c r="W7">
        <v>5</v>
      </c>
      <c r="X7">
        <v>42.483660130718953</v>
      </c>
    </row>
    <row r="8" spans="1:26" x14ac:dyDescent="0.2">
      <c r="B8">
        <v>6</v>
      </c>
      <c r="C8">
        <v>46.598639455782319</v>
      </c>
      <c r="I8">
        <v>6</v>
      </c>
      <c r="J8">
        <v>53.007518796992478</v>
      </c>
      <c r="P8">
        <v>6</v>
      </c>
      <c r="Q8">
        <v>44.537346711259758</v>
      </c>
      <c r="W8">
        <v>6</v>
      </c>
      <c r="X8">
        <v>61.519607843137251</v>
      </c>
    </row>
    <row r="9" spans="1:26" x14ac:dyDescent="0.2">
      <c r="B9">
        <v>7</v>
      </c>
      <c r="C9">
        <v>53.382352941176471</v>
      </c>
      <c r="I9">
        <v>7</v>
      </c>
      <c r="J9">
        <v>41.567852437417649</v>
      </c>
      <c r="P9">
        <v>7</v>
      </c>
      <c r="Q9">
        <v>35.714285714285715</v>
      </c>
      <c r="W9">
        <v>7</v>
      </c>
      <c r="X9">
        <v>65.158371040723978</v>
      </c>
    </row>
    <row r="10" spans="1:26" x14ac:dyDescent="0.2">
      <c r="B10">
        <v>8</v>
      </c>
      <c r="C10">
        <v>59.837398373983739</v>
      </c>
      <c r="I10">
        <v>8</v>
      </c>
      <c r="J10">
        <v>64.888888888888886</v>
      </c>
      <c r="P10">
        <v>8</v>
      </c>
      <c r="Q10">
        <v>42.758985200845665</v>
      </c>
      <c r="W10">
        <v>8</v>
      </c>
      <c r="X10">
        <v>52.678571428571431</v>
      </c>
    </row>
    <row r="11" spans="1:26" x14ac:dyDescent="0.2">
      <c r="B11">
        <v>9</v>
      </c>
      <c r="C11">
        <v>45.637065637065639</v>
      </c>
      <c r="W11">
        <v>9</v>
      </c>
      <c r="X11">
        <v>58.730158730158735</v>
      </c>
    </row>
    <row r="12" spans="1:26" x14ac:dyDescent="0.2">
      <c r="B12">
        <v>10</v>
      </c>
      <c r="C12">
        <v>35.538563829787236</v>
      </c>
      <c r="H12" t="s">
        <v>3</v>
      </c>
      <c r="I12" t="s">
        <v>1</v>
      </c>
      <c r="J12" t="s">
        <v>2</v>
      </c>
      <c r="K12" t="s">
        <v>4</v>
      </c>
      <c r="L12" t="s">
        <v>95</v>
      </c>
      <c r="O12" t="s">
        <v>3</v>
      </c>
      <c r="P12" t="s">
        <v>1</v>
      </c>
      <c r="Q12" t="s">
        <v>2</v>
      </c>
      <c r="R12" t="s">
        <v>4</v>
      </c>
      <c r="S12" t="s">
        <v>95</v>
      </c>
      <c r="W12">
        <v>10</v>
      </c>
      <c r="X12">
        <v>58.455882352941174</v>
      </c>
    </row>
    <row r="13" spans="1:26" x14ac:dyDescent="0.2">
      <c r="H13" t="s">
        <v>24</v>
      </c>
      <c r="I13">
        <v>1</v>
      </c>
      <c r="J13">
        <v>-7.1902090770015299</v>
      </c>
      <c r="K13">
        <f>AVERAGE(J13:J20)</f>
        <v>6.5240097994091659</v>
      </c>
      <c r="L13">
        <f>STDEV(J13:J20) /SQRT(COUNT(J13:J20))</f>
        <v>3.5848943374914977</v>
      </c>
      <c r="O13" t="s">
        <v>25</v>
      </c>
      <c r="P13">
        <v>1</v>
      </c>
      <c r="Q13">
        <v>23.913043478260871</v>
      </c>
      <c r="R13">
        <f>AVERAGE(Q13:Q20)</f>
        <v>6.3438104288712598</v>
      </c>
      <c r="S13">
        <f>STDEV(Q13:Q20) /SQRT(COUNT(Q13:Q20))</f>
        <v>4.8284662723921681</v>
      </c>
      <c r="W13">
        <v>11</v>
      </c>
      <c r="X13">
        <v>58.94736842105263</v>
      </c>
    </row>
    <row r="14" spans="1:26" x14ac:dyDescent="0.2">
      <c r="A14" t="s">
        <v>3</v>
      </c>
      <c r="B14" t="s">
        <v>1</v>
      </c>
      <c r="C14" t="s">
        <v>2</v>
      </c>
      <c r="D14" t="s">
        <v>4</v>
      </c>
      <c r="E14" t="s">
        <v>95</v>
      </c>
      <c r="H14" t="s">
        <v>22</v>
      </c>
      <c r="I14">
        <v>2</v>
      </c>
      <c r="J14">
        <v>13.426265590608951</v>
      </c>
      <c r="O14" t="s">
        <v>22</v>
      </c>
      <c r="P14">
        <v>2</v>
      </c>
      <c r="Q14">
        <v>-12.797619047619047</v>
      </c>
      <c r="W14">
        <v>12</v>
      </c>
      <c r="X14">
        <v>73.667711598746081</v>
      </c>
    </row>
    <row r="15" spans="1:26" x14ac:dyDescent="0.2">
      <c r="A15" t="s">
        <v>20</v>
      </c>
      <c r="B15">
        <v>1</v>
      </c>
      <c r="C15">
        <v>20.520050125313283</v>
      </c>
      <c r="D15">
        <f>AVERAGE(C15:C22)</f>
        <v>22.810589190777041</v>
      </c>
      <c r="E15">
        <f>STDEV(C15:C22) /SQRT(COUNT(C15:C22))</f>
        <v>1.3174871300900548</v>
      </c>
      <c r="I15">
        <v>3</v>
      </c>
      <c r="J15">
        <v>-3.7606837606837606</v>
      </c>
      <c r="P15">
        <v>3</v>
      </c>
      <c r="Q15">
        <v>20</v>
      </c>
    </row>
    <row r="16" spans="1:26" x14ac:dyDescent="0.2">
      <c r="A16" t="s">
        <v>22</v>
      </c>
      <c r="B16">
        <v>2</v>
      </c>
      <c r="C16">
        <v>25.357142857142858</v>
      </c>
      <c r="I16">
        <v>4</v>
      </c>
      <c r="J16">
        <v>-2.1481481481481479</v>
      </c>
      <c r="P16">
        <v>4</v>
      </c>
      <c r="Q16">
        <v>4.6698872785829302</v>
      </c>
      <c r="V16" t="s">
        <v>3</v>
      </c>
      <c r="W16" t="s">
        <v>1</v>
      </c>
      <c r="X16" t="s">
        <v>2</v>
      </c>
      <c r="Y16" t="s">
        <v>4</v>
      </c>
      <c r="Z16" t="s">
        <v>95</v>
      </c>
    </row>
    <row r="17" spans="1:26" ht="16" x14ac:dyDescent="0.25">
      <c r="B17">
        <v>3</v>
      </c>
      <c r="C17">
        <v>19.298245614035089</v>
      </c>
      <c r="I17">
        <v>5</v>
      </c>
      <c r="J17">
        <v>10.841836734693878</v>
      </c>
      <c r="P17">
        <v>5</v>
      </c>
      <c r="Q17">
        <v>2.2549019607843146</v>
      </c>
      <c r="V17" t="s">
        <v>350</v>
      </c>
      <c r="W17">
        <v>1</v>
      </c>
      <c r="X17">
        <v>79.047619047619051</v>
      </c>
      <c r="Y17">
        <f>AVERAGE(X17:X28)</f>
        <v>69.356807087659149</v>
      </c>
      <c r="Z17" s="4">
        <f>STDEV(X17:X28) /SQRT(COUNT(X17:X28))</f>
        <v>2.0937839713813409</v>
      </c>
    </row>
    <row r="18" spans="1:26" x14ac:dyDescent="0.2">
      <c r="B18">
        <v>4</v>
      </c>
      <c r="C18">
        <v>17.857142857142858</v>
      </c>
      <c r="I18">
        <v>6</v>
      </c>
      <c r="J18">
        <v>20.80808080808081</v>
      </c>
      <c r="P18">
        <v>6</v>
      </c>
      <c r="Q18">
        <v>20.347394540942929</v>
      </c>
      <c r="W18">
        <v>2</v>
      </c>
      <c r="X18">
        <v>78.571428571428584</v>
      </c>
    </row>
    <row r="19" spans="1:26" x14ac:dyDescent="0.2">
      <c r="B19">
        <v>5</v>
      </c>
      <c r="C19">
        <v>25.91886269070735</v>
      </c>
      <c r="I19">
        <v>7</v>
      </c>
      <c r="J19">
        <v>15.333333333333332</v>
      </c>
      <c r="P19">
        <v>7</v>
      </c>
      <c r="Q19">
        <v>-0.51282051282051277</v>
      </c>
      <c r="W19">
        <v>3</v>
      </c>
      <c r="X19">
        <v>60.984848484848484</v>
      </c>
    </row>
    <row r="20" spans="1:26" x14ac:dyDescent="0.2">
      <c r="B20">
        <v>6</v>
      </c>
      <c r="C20">
        <v>25.484261501210653</v>
      </c>
      <c r="I20">
        <v>8</v>
      </c>
      <c r="J20">
        <v>4.8816029143897985</v>
      </c>
      <c r="P20">
        <v>8</v>
      </c>
      <c r="Q20">
        <v>-7.1243042671614099</v>
      </c>
      <c r="W20">
        <v>4</v>
      </c>
      <c r="X20">
        <v>68.888888888888886</v>
      </c>
    </row>
    <row r="21" spans="1:26" x14ac:dyDescent="0.2">
      <c r="B21">
        <v>7</v>
      </c>
      <c r="C21">
        <v>27.821969696969695</v>
      </c>
      <c r="W21">
        <v>5</v>
      </c>
      <c r="X21">
        <v>61.538461538461533</v>
      </c>
    </row>
    <row r="22" spans="1:26" x14ac:dyDescent="0.2">
      <c r="B22">
        <v>8</v>
      </c>
      <c r="C22">
        <v>20.227038183694532</v>
      </c>
      <c r="H22" t="s">
        <v>5</v>
      </c>
      <c r="I22" t="s">
        <v>1</v>
      </c>
      <c r="J22" t="s">
        <v>2</v>
      </c>
      <c r="K22" t="s">
        <v>4</v>
      </c>
      <c r="L22" t="s">
        <v>95</v>
      </c>
      <c r="O22" t="s">
        <v>5</v>
      </c>
      <c r="P22" t="s">
        <v>1</v>
      </c>
      <c r="Q22" t="s">
        <v>2</v>
      </c>
      <c r="R22" t="s">
        <v>4</v>
      </c>
      <c r="S22" t="s">
        <v>95</v>
      </c>
      <c r="W22">
        <v>6</v>
      </c>
      <c r="X22">
        <v>61.666666666666664</v>
      </c>
    </row>
    <row r="23" spans="1:26" x14ac:dyDescent="0.2">
      <c r="H23" t="s">
        <v>24</v>
      </c>
      <c r="I23">
        <v>1</v>
      </c>
      <c r="J23">
        <v>18.75</v>
      </c>
      <c r="K23">
        <f>AVERAGE(J23:J38)</f>
        <v>9.8494337742996798</v>
      </c>
      <c r="L23">
        <f>STDEV(J23:J38) /SQRT(COUNT(J23:J38))</f>
        <v>3.6025065228009407</v>
      </c>
      <c r="O23" t="s">
        <v>25</v>
      </c>
      <c r="P23">
        <v>1</v>
      </c>
      <c r="Q23">
        <v>41.702127659574472</v>
      </c>
      <c r="R23">
        <f>AVERAGE(Q23:Q30)</f>
        <v>24.471842469147862</v>
      </c>
      <c r="S23">
        <f>STDEV(Q23:Q30) /SQRT(COUNT(Q23:Q30))</f>
        <v>3.7113081532941816</v>
      </c>
      <c r="W23">
        <v>7</v>
      </c>
      <c r="X23">
        <v>63.888888888888886</v>
      </c>
    </row>
    <row r="24" spans="1:26" x14ac:dyDescent="0.2">
      <c r="A24" t="s">
        <v>5</v>
      </c>
      <c r="B24" t="s">
        <v>1</v>
      </c>
      <c r="C24" t="s">
        <v>2</v>
      </c>
      <c r="D24" t="s">
        <v>4</v>
      </c>
      <c r="E24" t="s">
        <v>95</v>
      </c>
      <c r="H24" t="s">
        <v>23</v>
      </c>
      <c r="I24">
        <v>2</v>
      </c>
      <c r="J24">
        <v>1.1680726800778718</v>
      </c>
      <c r="O24" t="s">
        <v>23</v>
      </c>
      <c r="P24">
        <v>2</v>
      </c>
      <c r="Q24">
        <v>21.041752790409259</v>
      </c>
      <c r="W24">
        <v>8</v>
      </c>
      <c r="X24">
        <v>61.111111111111114</v>
      </c>
    </row>
    <row r="25" spans="1:26" x14ac:dyDescent="0.2">
      <c r="A25" t="s">
        <v>20</v>
      </c>
      <c r="B25">
        <v>1</v>
      </c>
      <c r="C25">
        <v>31.25</v>
      </c>
      <c r="D25">
        <f>AVERAGE(C25:C33)</f>
        <v>20.549792110112556</v>
      </c>
      <c r="E25">
        <f>STDEV(C25:C33) /SQRT(COUNT(C25:C33))</f>
        <v>3.1844402581749609</v>
      </c>
      <c r="I25">
        <v>3</v>
      </c>
      <c r="J25">
        <v>2.6766125493637567</v>
      </c>
      <c r="P25">
        <v>3</v>
      </c>
      <c r="Q25">
        <v>15.939278937381404</v>
      </c>
      <c r="W25">
        <v>9</v>
      </c>
      <c r="X25">
        <v>74.456521739130437</v>
      </c>
    </row>
    <row r="26" spans="1:26" x14ac:dyDescent="0.2">
      <c r="A26" t="s">
        <v>23</v>
      </c>
      <c r="B26">
        <v>2</v>
      </c>
      <c r="C26">
        <v>8.2066869300911858</v>
      </c>
      <c r="I26">
        <v>4</v>
      </c>
      <c r="J26">
        <v>-22.5</v>
      </c>
      <c r="P26">
        <v>4</v>
      </c>
      <c r="Q26">
        <v>21.305418719211822</v>
      </c>
      <c r="W26">
        <v>10</v>
      </c>
      <c r="X26">
        <v>77.124183006535944</v>
      </c>
    </row>
    <row r="27" spans="1:26" x14ac:dyDescent="0.2">
      <c r="B27">
        <v>3</v>
      </c>
      <c r="C27">
        <v>17.046193884189982</v>
      </c>
      <c r="I27">
        <v>5</v>
      </c>
      <c r="J27">
        <v>-6.3888888888888893</v>
      </c>
      <c r="P27">
        <v>5</v>
      </c>
      <c r="Q27">
        <v>16.337719298245617</v>
      </c>
      <c r="W27">
        <v>11</v>
      </c>
      <c r="X27">
        <v>74.12587412587412</v>
      </c>
    </row>
    <row r="28" spans="1:26" x14ac:dyDescent="0.2">
      <c r="B28">
        <v>4</v>
      </c>
      <c r="C28">
        <v>20.923076923076923</v>
      </c>
      <c r="I28">
        <v>6</v>
      </c>
      <c r="J28">
        <v>28.842105263157897</v>
      </c>
      <c r="P28">
        <v>6</v>
      </c>
      <c r="Q28">
        <v>34.811320754716981</v>
      </c>
      <c r="W28">
        <v>12</v>
      </c>
      <c r="X28">
        <v>70.877192982456137</v>
      </c>
    </row>
    <row r="29" spans="1:26" x14ac:dyDescent="0.2">
      <c r="B29">
        <v>5</v>
      </c>
      <c r="C29">
        <v>4.7172967547674807</v>
      </c>
      <c r="I29">
        <v>7</v>
      </c>
      <c r="J29">
        <v>29.09090909090909</v>
      </c>
      <c r="P29">
        <v>7</v>
      </c>
      <c r="Q29">
        <v>32.256169212690949</v>
      </c>
    </row>
    <row r="30" spans="1:26" x14ac:dyDescent="0.2">
      <c r="B30">
        <v>6</v>
      </c>
      <c r="C30">
        <v>23.607427055702917</v>
      </c>
      <c r="I30">
        <v>8</v>
      </c>
      <c r="J30">
        <v>7.3544433094994899</v>
      </c>
      <c r="P30">
        <v>8</v>
      </c>
      <c r="Q30">
        <v>12.380952380952383</v>
      </c>
      <c r="V30" t="s">
        <v>5</v>
      </c>
      <c r="W30" t="s">
        <v>1</v>
      </c>
      <c r="X30" t="s">
        <v>2</v>
      </c>
      <c r="Y30" t="s">
        <v>4</v>
      </c>
      <c r="Z30" t="s">
        <v>95</v>
      </c>
    </row>
    <row r="31" spans="1:26" ht="16" x14ac:dyDescent="0.25">
      <c r="B31">
        <v>7</v>
      </c>
      <c r="C31">
        <v>29.633867276887873</v>
      </c>
      <c r="I31">
        <v>9</v>
      </c>
      <c r="J31">
        <v>20.754716981132077</v>
      </c>
      <c r="V31" t="s">
        <v>351</v>
      </c>
      <c r="W31">
        <v>1</v>
      </c>
      <c r="X31">
        <v>21.111111111111111</v>
      </c>
      <c r="Y31">
        <f>AVERAGE(X31:X42)</f>
        <v>10.800713576448871</v>
      </c>
      <c r="Z31" s="4">
        <f>STDEV(X31:X42) /SQRT(COUNT(X31:X42))</f>
        <v>4.3324901942076481</v>
      </c>
    </row>
    <row r="32" spans="1:26" x14ac:dyDescent="0.2">
      <c r="B32">
        <v>8</v>
      </c>
      <c r="C32">
        <v>30.802968960863698</v>
      </c>
      <c r="I32">
        <v>10</v>
      </c>
      <c r="J32">
        <v>23.642533936651581</v>
      </c>
      <c r="O32" t="s">
        <v>6</v>
      </c>
      <c r="W32">
        <v>2</v>
      </c>
      <c r="X32">
        <v>4.5310015898251201</v>
      </c>
    </row>
    <row r="33" spans="1:26" x14ac:dyDescent="0.2">
      <c r="B33">
        <v>9</v>
      </c>
      <c r="C33">
        <v>18.760611205432937</v>
      </c>
      <c r="I33">
        <v>11</v>
      </c>
      <c r="J33">
        <v>10.809018567639257</v>
      </c>
      <c r="O33" t="s">
        <v>19</v>
      </c>
      <c r="W33">
        <v>3</v>
      </c>
      <c r="X33">
        <v>-9.5238095238095255</v>
      </c>
    </row>
    <row r="34" spans="1:26" x14ac:dyDescent="0.2">
      <c r="I34">
        <v>12</v>
      </c>
      <c r="J34">
        <v>3.3333333333333335</v>
      </c>
      <c r="O34" t="s">
        <v>457</v>
      </c>
      <c r="W34">
        <v>4</v>
      </c>
      <c r="X34">
        <v>0.69444444444444464</v>
      </c>
    </row>
    <row r="35" spans="1:26" x14ac:dyDescent="0.2">
      <c r="A35" t="s">
        <v>6</v>
      </c>
      <c r="I35">
        <v>13</v>
      </c>
      <c r="J35">
        <v>16.120489904005296</v>
      </c>
      <c r="O35" t="s">
        <v>458</v>
      </c>
      <c r="W35">
        <v>5</v>
      </c>
      <c r="X35">
        <v>3.8095238095238098</v>
      </c>
    </row>
    <row r="36" spans="1:26" x14ac:dyDescent="0.2">
      <c r="A36" t="s">
        <v>18</v>
      </c>
      <c r="I36">
        <v>14</v>
      </c>
      <c r="J36">
        <v>15.380549682875266</v>
      </c>
      <c r="O36" t="s">
        <v>346</v>
      </c>
      <c r="W36">
        <v>6</v>
      </c>
      <c r="X36">
        <v>37.5</v>
      </c>
    </row>
    <row r="37" spans="1:26" x14ac:dyDescent="0.2">
      <c r="A37" t="s">
        <v>451</v>
      </c>
      <c r="I37">
        <v>15</v>
      </c>
      <c r="J37">
        <v>18.004459308807135</v>
      </c>
      <c r="O37" t="s">
        <v>37</v>
      </c>
      <c r="W37">
        <v>7</v>
      </c>
      <c r="X37">
        <v>25.555555555555557</v>
      </c>
    </row>
    <row r="38" spans="1:26" x14ac:dyDescent="0.2">
      <c r="A38" t="s">
        <v>452</v>
      </c>
      <c r="I38">
        <v>16</v>
      </c>
      <c r="J38">
        <v>-9.4474153297682726</v>
      </c>
      <c r="O38" t="s">
        <v>38</v>
      </c>
      <c r="W38">
        <v>8</v>
      </c>
      <c r="X38">
        <v>13.636363636363637</v>
      </c>
    </row>
    <row r="39" spans="1:26" x14ac:dyDescent="0.2">
      <c r="A39" t="s">
        <v>453</v>
      </c>
      <c r="O39" t="s">
        <v>13</v>
      </c>
      <c r="W39">
        <v>9</v>
      </c>
      <c r="X39">
        <v>5.4545454545454541</v>
      </c>
    </row>
    <row r="40" spans="1:26" x14ac:dyDescent="0.2">
      <c r="A40" t="s">
        <v>37</v>
      </c>
      <c r="H40" t="s">
        <v>6</v>
      </c>
      <c r="W40">
        <v>10</v>
      </c>
      <c r="X40">
        <v>-13.636363636363637</v>
      </c>
    </row>
    <row r="41" spans="1:26" x14ac:dyDescent="0.2">
      <c r="A41" t="s">
        <v>38</v>
      </c>
      <c r="H41" t="s">
        <v>18</v>
      </c>
      <c r="W41">
        <v>11</v>
      </c>
      <c r="X41">
        <v>16.666666666666668</v>
      </c>
    </row>
    <row r="42" spans="1:26" x14ac:dyDescent="0.2">
      <c r="A42" t="s">
        <v>13</v>
      </c>
      <c r="H42" t="s">
        <v>454</v>
      </c>
      <c r="W42">
        <v>12</v>
      </c>
      <c r="X42">
        <v>23.80952380952381</v>
      </c>
    </row>
    <row r="43" spans="1:26" x14ac:dyDescent="0.2">
      <c r="H43" t="s">
        <v>455</v>
      </c>
    </row>
    <row r="44" spans="1:26" x14ac:dyDescent="0.2">
      <c r="H44" t="s">
        <v>456</v>
      </c>
      <c r="V44" t="s">
        <v>347</v>
      </c>
      <c r="W44" t="s">
        <v>1</v>
      </c>
      <c r="X44" t="s">
        <v>2</v>
      </c>
      <c r="Y44" t="s">
        <v>4</v>
      </c>
      <c r="Z44" t="s">
        <v>95</v>
      </c>
    </row>
    <row r="45" spans="1:26" ht="16" x14ac:dyDescent="0.25">
      <c r="H45" t="s">
        <v>37</v>
      </c>
      <c r="V45" t="s">
        <v>352</v>
      </c>
      <c r="W45">
        <v>1</v>
      </c>
      <c r="X45">
        <v>41.866028708133975</v>
      </c>
      <c r="Y45">
        <f>AVERAGE(X45:X56)</f>
        <v>60.791479795016862</v>
      </c>
      <c r="Z45" s="4">
        <f>STDEV(X45:X56) /SQRT(COUNT(X45:X56))</f>
        <v>2.6433225559192439</v>
      </c>
    </row>
    <row r="46" spans="1:26" x14ac:dyDescent="0.2">
      <c r="H46" t="s">
        <v>38</v>
      </c>
      <c r="W46">
        <v>2</v>
      </c>
      <c r="X46">
        <v>72.311827956989248</v>
      </c>
    </row>
    <row r="47" spans="1:26" x14ac:dyDescent="0.2">
      <c r="H47" t="s">
        <v>13</v>
      </c>
      <c r="W47">
        <v>3</v>
      </c>
      <c r="X47">
        <v>53.818181818181813</v>
      </c>
    </row>
    <row r="48" spans="1:26" x14ac:dyDescent="0.2">
      <c r="W48">
        <v>4</v>
      </c>
      <c r="X48">
        <v>59.615384615384613</v>
      </c>
    </row>
    <row r="49" spans="22:26" x14ac:dyDescent="0.2">
      <c r="W49">
        <v>5</v>
      </c>
      <c r="X49">
        <v>67.543859649122808</v>
      </c>
    </row>
    <row r="50" spans="22:26" x14ac:dyDescent="0.2">
      <c r="W50">
        <v>6</v>
      </c>
      <c r="X50">
        <v>67.948717948717956</v>
      </c>
    </row>
    <row r="51" spans="22:26" x14ac:dyDescent="0.2">
      <c r="W51">
        <v>7</v>
      </c>
      <c r="X51">
        <v>59.899749373433579</v>
      </c>
    </row>
    <row r="52" spans="22:26" x14ac:dyDescent="0.2">
      <c r="W52">
        <v>8</v>
      </c>
      <c r="X52">
        <v>69.056152927120664</v>
      </c>
    </row>
    <row r="53" spans="22:26" x14ac:dyDescent="0.2">
      <c r="W53">
        <v>9</v>
      </c>
      <c r="X53">
        <v>47.527472527472533</v>
      </c>
    </row>
    <row r="54" spans="22:26" x14ac:dyDescent="0.2">
      <c r="W54">
        <v>10</v>
      </c>
      <c r="X54">
        <v>59.595959595959599</v>
      </c>
    </row>
    <row r="55" spans="22:26" x14ac:dyDescent="0.2">
      <c r="W55">
        <v>11</v>
      </c>
      <c r="X55">
        <v>65.162907268170429</v>
      </c>
    </row>
    <row r="56" spans="22:26" x14ac:dyDescent="0.2">
      <c r="W56">
        <v>12</v>
      </c>
      <c r="X56">
        <v>65.151515151515156</v>
      </c>
    </row>
    <row r="58" spans="22:26" x14ac:dyDescent="0.2">
      <c r="V58" t="s">
        <v>348</v>
      </c>
      <c r="W58" t="s">
        <v>1</v>
      </c>
      <c r="X58" t="s">
        <v>2</v>
      </c>
      <c r="Y58" t="s">
        <v>4</v>
      </c>
      <c r="Z58" t="s">
        <v>95</v>
      </c>
    </row>
    <row r="59" spans="22:26" ht="16" x14ac:dyDescent="0.25">
      <c r="V59" t="s">
        <v>353</v>
      </c>
      <c r="W59">
        <v>1</v>
      </c>
      <c r="X59">
        <v>47.093023255813954</v>
      </c>
      <c r="Y59">
        <f>AVERAGE(X59:X70)</f>
        <v>70.172434479807563</v>
      </c>
      <c r="Z59" s="4">
        <f>STDEV(X59:X70) /SQRT(COUNT(X59:X70))</f>
        <v>2.5891884929179119</v>
      </c>
    </row>
    <row r="60" spans="22:26" x14ac:dyDescent="0.2">
      <c r="W60">
        <v>2</v>
      </c>
      <c r="X60">
        <v>82.444444444444443</v>
      </c>
    </row>
    <row r="61" spans="22:26" x14ac:dyDescent="0.2">
      <c r="W61">
        <v>3</v>
      </c>
      <c r="X61">
        <v>74.21052631578948</v>
      </c>
    </row>
    <row r="62" spans="22:26" x14ac:dyDescent="0.2">
      <c r="W62">
        <v>4</v>
      </c>
      <c r="X62">
        <v>67.5</v>
      </c>
    </row>
    <row r="63" spans="22:26" x14ac:dyDescent="0.2">
      <c r="W63">
        <v>5</v>
      </c>
      <c r="X63">
        <v>69</v>
      </c>
    </row>
    <row r="64" spans="22:26" x14ac:dyDescent="0.2">
      <c r="W64">
        <v>6</v>
      </c>
      <c r="X64">
        <v>74.596774193548384</v>
      </c>
    </row>
    <row r="65" spans="22:24" x14ac:dyDescent="0.2">
      <c r="W65">
        <v>7</v>
      </c>
      <c r="X65">
        <v>68.716577540106954</v>
      </c>
    </row>
    <row r="66" spans="22:24" x14ac:dyDescent="0.2">
      <c r="W66">
        <v>8</v>
      </c>
      <c r="X66">
        <v>74.34210526315789</v>
      </c>
    </row>
    <row r="67" spans="22:24" x14ac:dyDescent="0.2">
      <c r="W67">
        <v>9</v>
      </c>
      <c r="X67">
        <v>61.538461538461533</v>
      </c>
    </row>
    <row r="68" spans="22:24" x14ac:dyDescent="0.2">
      <c r="W68">
        <v>10</v>
      </c>
      <c r="X68">
        <v>71.255060728744937</v>
      </c>
    </row>
    <row r="69" spans="22:24" x14ac:dyDescent="0.2">
      <c r="W69">
        <v>11</v>
      </c>
      <c r="X69">
        <v>76.470588235294116</v>
      </c>
    </row>
    <row r="70" spans="22:24" x14ac:dyDescent="0.2">
      <c r="W70">
        <v>12</v>
      </c>
      <c r="X70">
        <v>74.901652242328879</v>
      </c>
    </row>
    <row r="72" spans="22:24" x14ac:dyDescent="0.2">
      <c r="V72" s="2" t="s">
        <v>6</v>
      </c>
    </row>
    <row r="73" spans="22:24" x14ac:dyDescent="0.2">
      <c r="V73" s="2" t="s">
        <v>18</v>
      </c>
    </row>
    <row r="74" spans="22:24" x14ac:dyDescent="0.2">
      <c r="V74" s="2" t="s">
        <v>354</v>
      </c>
    </row>
    <row r="75" spans="22:24" x14ac:dyDescent="0.2">
      <c r="V75" s="2" t="s">
        <v>355</v>
      </c>
    </row>
    <row r="76" spans="22:24" x14ac:dyDescent="0.2">
      <c r="V76" s="2" t="s">
        <v>356</v>
      </c>
    </row>
    <row r="77" spans="22:24" x14ac:dyDescent="0.2">
      <c r="V77" s="2" t="s">
        <v>357</v>
      </c>
    </row>
    <row r="78" spans="22:24" x14ac:dyDescent="0.2">
      <c r="V78" s="2" t="s">
        <v>358</v>
      </c>
    </row>
    <row r="79" spans="22:24" x14ac:dyDescent="0.2">
      <c r="V79" s="2" t="s">
        <v>359</v>
      </c>
    </row>
    <row r="80" spans="22:24" x14ac:dyDescent="0.2">
      <c r="V80" s="2" t="s">
        <v>360</v>
      </c>
    </row>
    <row r="81" spans="22:22" x14ac:dyDescent="0.2">
      <c r="V81" s="2" t="s">
        <v>361</v>
      </c>
    </row>
    <row r="82" spans="22:22" x14ac:dyDescent="0.2">
      <c r="V82" s="2" t="s">
        <v>362</v>
      </c>
    </row>
    <row r="83" spans="22:22" x14ac:dyDescent="0.2">
      <c r="V83" s="2" t="s">
        <v>363</v>
      </c>
    </row>
    <row r="84" spans="22:22" x14ac:dyDescent="0.2">
      <c r="V84" s="2" t="s">
        <v>37</v>
      </c>
    </row>
    <row r="85" spans="22:22" x14ac:dyDescent="0.2">
      <c r="V85" s="2" t="s">
        <v>38</v>
      </c>
    </row>
    <row r="86" spans="22:22" x14ac:dyDescent="0.2">
      <c r="V86" s="3" t="s">
        <v>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3EEE-953E-462B-9BFA-5C81B43434C1}">
  <dimension ref="A1:Z98"/>
  <sheetViews>
    <sheetView topLeftCell="A6" workbookViewId="0">
      <selection activeCell="F40" sqref="F40"/>
    </sheetView>
  </sheetViews>
  <sheetFormatPr baseColWidth="10" defaultColWidth="11.5" defaultRowHeight="15" x14ac:dyDescent="0.2"/>
  <cols>
    <col min="7" max="7" width="11.5" style="1"/>
    <col min="14" max="14" width="11.5" style="1"/>
    <col min="21" max="21" width="11.5" style="1"/>
  </cols>
  <sheetData>
    <row r="1" spans="1:26" x14ac:dyDescent="0.2">
      <c r="A1" t="s">
        <v>9</v>
      </c>
      <c r="C1" t="s">
        <v>391</v>
      </c>
      <c r="H1" t="s">
        <v>10</v>
      </c>
      <c r="J1" t="s">
        <v>391</v>
      </c>
      <c r="O1" t="s">
        <v>11</v>
      </c>
      <c r="Q1" t="s">
        <v>391</v>
      </c>
      <c r="V1" t="s">
        <v>12</v>
      </c>
      <c r="X1" t="s">
        <v>391</v>
      </c>
    </row>
    <row r="2" spans="1:26" x14ac:dyDescent="0.2">
      <c r="A2" t="s">
        <v>61</v>
      </c>
      <c r="B2" t="s">
        <v>1</v>
      </c>
      <c r="C2" t="s">
        <v>2</v>
      </c>
      <c r="D2" t="s">
        <v>4</v>
      </c>
      <c r="E2" t="s">
        <v>95</v>
      </c>
      <c r="H2" t="s">
        <v>61</v>
      </c>
      <c r="I2" t="s">
        <v>1</v>
      </c>
      <c r="J2" t="s">
        <v>2</v>
      </c>
      <c r="K2" t="s">
        <v>4</v>
      </c>
      <c r="L2" t="s">
        <v>95</v>
      </c>
      <c r="O2" t="s">
        <v>61</v>
      </c>
      <c r="P2" t="s">
        <v>1</v>
      </c>
      <c r="Q2" t="s">
        <v>2</v>
      </c>
      <c r="R2" t="s">
        <v>4</v>
      </c>
      <c r="S2" t="s">
        <v>95</v>
      </c>
      <c r="V2" t="s">
        <v>61</v>
      </c>
      <c r="W2" t="s">
        <v>1</v>
      </c>
      <c r="X2" t="s">
        <v>2</v>
      </c>
      <c r="Y2" t="s">
        <v>4</v>
      </c>
      <c r="Z2" t="s">
        <v>95</v>
      </c>
    </row>
    <row r="3" spans="1:26" ht="16" x14ac:dyDescent="0.25">
      <c r="A3" t="s">
        <v>27</v>
      </c>
      <c r="B3">
        <v>1</v>
      </c>
      <c r="C3">
        <v>15</v>
      </c>
      <c r="D3">
        <f>AVERAGE(C3:C13)</f>
        <v>45.128973899324187</v>
      </c>
      <c r="E3" s="4">
        <f>STDEV(C3:C13) /SQRT(COUNT(C3:C13))</f>
        <v>6.7357349837713629</v>
      </c>
      <c r="H3" t="s">
        <v>27</v>
      </c>
      <c r="I3">
        <v>1</v>
      </c>
      <c r="J3">
        <v>41.777777777777779</v>
      </c>
      <c r="K3">
        <f>AVERAGE(J3:J16)</f>
        <v>21.412801445915438</v>
      </c>
      <c r="L3" s="4">
        <f>STDEV(J3:J16) /SQRT(COUNT(J3:J16))</f>
        <v>3.259698581268224</v>
      </c>
      <c r="O3" t="s">
        <v>29</v>
      </c>
      <c r="P3">
        <v>1</v>
      </c>
      <c r="Q3">
        <v>9.8833218943033607</v>
      </c>
      <c r="R3">
        <f>AVERAGE(Q3:Q16)</f>
        <v>23.321188437657149</v>
      </c>
      <c r="S3" s="4">
        <f>STDEV(Q3:Q16) /SQRT(COUNT(Q3:Q16))</f>
        <v>4.5995481371576918</v>
      </c>
      <c r="V3" t="s">
        <v>29</v>
      </c>
      <c r="W3">
        <v>1</v>
      </c>
      <c r="X3">
        <v>16.944444444444443</v>
      </c>
      <c r="Y3">
        <f>AVERAGE(X3:X14)</f>
        <v>15.632099297886866</v>
      </c>
      <c r="Z3" s="4">
        <f>STDEV(X3:X14) /SQRT(COUNT(X3:X14))</f>
        <v>2.7385142710091457</v>
      </c>
    </row>
    <row r="4" spans="1:26" x14ac:dyDescent="0.2">
      <c r="B4">
        <v>2</v>
      </c>
      <c r="C4">
        <v>46.794871794871796</v>
      </c>
      <c r="I4">
        <v>2</v>
      </c>
      <c r="J4">
        <v>37.777777777777779</v>
      </c>
      <c r="P4">
        <v>2</v>
      </c>
      <c r="Q4">
        <v>7.9002079002079011</v>
      </c>
      <c r="W4">
        <v>2</v>
      </c>
      <c r="X4">
        <v>25.231481481481481</v>
      </c>
    </row>
    <row r="5" spans="1:26" x14ac:dyDescent="0.2">
      <c r="B5">
        <v>3</v>
      </c>
      <c r="C5">
        <v>69.090909090909093</v>
      </c>
      <c r="I5">
        <v>3</v>
      </c>
      <c r="J5">
        <v>14.362934362934363</v>
      </c>
      <c r="P5">
        <v>3</v>
      </c>
      <c r="Q5">
        <v>34.126984126984127</v>
      </c>
      <c r="W5">
        <v>3</v>
      </c>
      <c r="X5">
        <v>8.928571428571427</v>
      </c>
    </row>
    <row r="6" spans="1:26" x14ac:dyDescent="0.2">
      <c r="B6">
        <v>4</v>
      </c>
      <c r="C6">
        <v>72.307692307692307</v>
      </c>
      <c r="I6">
        <v>4</v>
      </c>
      <c r="J6">
        <v>16.089412920658315</v>
      </c>
      <c r="P6">
        <v>4</v>
      </c>
      <c r="Q6">
        <v>19.661733615221987</v>
      </c>
      <c r="W6">
        <v>4</v>
      </c>
      <c r="X6">
        <v>25.339366515837106</v>
      </c>
    </row>
    <row r="7" spans="1:26" x14ac:dyDescent="0.2">
      <c r="B7">
        <v>5</v>
      </c>
      <c r="C7">
        <v>64.393939393939391</v>
      </c>
      <c r="I7">
        <v>5</v>
      </c>
      <c r="J7">
        <v>16.923076923076923</v>
      </c>
      <c r="P7">
        <v>5</v>
      </c>
      <c r="Q7">
        <v>30</v>
      </c>
      <c r="W7">
        <v>5</v>
      </c>
      <c r="X7">
        <v>15</v>
      </c>
    </row>
    <row r="8" spans="1:26" x14ac:dyDescent="0.2">
      <c r="B8">
        <v>6</v>
      </c>
      <c r="C8">
        <v>68.839427662957064</v>
      </c>
      <c r="I8">
        <v>6</v>
      </c>
      <c r="J8">
        <v>13.423831070889893</v>
      </c>
      <c r="P8">
        <v>6</v>
      </c>
      <c r="Q8">
        <v>10.277777777777779</v>
      </c>
      <c r="W8">
        <v>6</v>
      </c>
      <c r="X8">
        <v>13.626834381551364</v>
      </c>
    </row>
    <row r="9" spans="1:26" x14ac:dyDescent="0.2">
      <c r="B9">
        <v>7</v>
      </c>
      <c r="C9">
        <v>36.53846153846154</v>
      </c>
      <c r="I9">
        <v>7</v>
      </c>
      <c r="J9">
        <v>20.418604651162791</v>
      </c>
      <c r="P9">
        <v>7</v>
      </c>
      <c r="Q9">
        <v>61.05263157894737</v>
      </c>
      <c r="W9">
        <v>7</v>
      </c>
      <c r="X9">
        <v>33.333333333333329</v>
      </c>
    </row>
    <row r="10" spans="1:26" x14ac:dyDescent="0.2">
      <c r="B10">
        <v>8</v>
      </c>
      <c r="C10">
        <v>51.595744680851062</v>
      </c>
      <c r="I10">
        <v>8</v>
      </c>
      <c r="J10">
        <v>25.271739130434781</v>
      </c>
      <c r="P10">
        <v>8</v>
      </c>
      <c r="Q10">
        <v>17.857142857142858</v>
      </c>
      <c r="W10">
        <v>8</v>
      </c>
      <c r="X10">
        <v>18.095238095238095</v>
      </c>
    </row>
    <row r="11" spans="1:26" x14ac:dyDescent="0.2">
      <c r="B11">
        <v>9</v>
      </c>
      <c r="C11">
        <v>23.913043478260871</v>
      </c>
      <c r="I11">
        <v>9</v>
      </c>
      <c r="J11">
        <v>12.239089184060722</v>
      </c>
      <c r="P11">
        <v>9</v>
      </c>
      <c r="Q11">
        <v>17.961914565105506</v>
      </c>
      <c r="W11">
        <v>9</v>
      </c>
      <c r="X11">
        <v>6.9629629629629637</v>
      </c>
    </row>
    <row r="12" spans="1:26" x14ac:dyDescent="0.2">
      <c r="B12">
        <v>10</v>
      </c>
      <c r="C12">
        <v>37.629937629937629</v>
      </c>
      <c r="I12">
        <v>10</v>
      </c>
      <c r="J12">
        <v>28.571428571428569</v>
      </c>
      <c r="P12">
        <v>10</v>
      </c>
      <c r="Q12">
        <v>27.337398373983742</v>
      </c>
      <c r="W12">
        <v>10</v>
      </c>
      <c r="X12">
        <v>3.664302600472813</v>
      </c>
    </row>
    <row r="13" spans="1:26" x14ac:dyDescent="0.2">
      <c r="B13">
        <v>11</v>
      </c>
      <c r="C13">
        <v>10.314685314685315</v>
      </c>
      <c r="I13">
        <v>11</v>
      </c>
      <c r="J13">
        <v>32.785923753665692</v>
      </c>
      <c r="P13">
        <v>11</v>
      </c>
      <c r="Q13">
        <v>4.3650793650793656</v>
      </c>
      <c r="W13">
        <v>11</v>
      </c>
      <c r="X13">
        <v>19.069767441860463</v>
      </c>
    </row>
    <row r="14" spans="1:26" x14ac:dyDescent="0.2">
      <c r="I14">
        <v>12</v>
      </c>
      <c r="J14">
        <v>6.1583577712609969</v>
      </c>
      <c r="P14">
        <v>12</v>
      </c>
      <c r="Q14">
        <v>21.428571428571427</v>
      </c>
      <c r="W14">
        <v>12</v>
      </c>
      <c r="X14">
        <v>1.3888888888888893</v>
      </c>
    </row>
    <row r="15" spans="1:26" x14ac:dyDescent="0.2">
      <c r="A15" t="s">
        <v>3</v>
      </c>
      <c r="B15" t="s">
        <v>1</v>
      </c>
      <c r="C15" t="s">
        <v>2</v>
      </c>
      <c r="D15" t="s">
        <v>4</v>
      </c>
      <c r="E15" t="s">
        <v>95</v>
      </c>
      <c r="I15">
        <v>13</v>
      </c>
      <c r="J15">
        <v>33.373205741626791</v>
      </c>
      <c r="P15">
        <v>13</v>
      </c>
      <c r="Q15">
        <v>55.384615384615387</v>
      </c>
    </row>
    <row r="16" spans="1:26" ht="16" x14ac:dyDescent="0.25">
      <c r="A16" t="s">
        <v>26</v>
      </c>
      <c r="B16">
        <v>1</v>
      </c>
      <c r="C16">
        <v>26.794871794871796</v>
      </c>
      <c r="D16">
        <f>AVERAGE(C16:C23)</f>
        <v>37.366850729401598</v>
      </c>
      <c r="E16" s="4">
        <f>STDEV(C16:C23) /SQRT(COUNT(C16:C23))</f>
        <v>6.0964044563755344</v>
      </c>
      <c r="I16">
        <v>14</v>
      </c>
      <c r="J16">
        <v>0.60606060606060552</v>
      </c>
      <c r="P16">
        <v>14</v>
      </c>
      <c r="Q16">
        <v>9.2592592592592595</v>
      </c>
      <c r="V16" t="s">
        <v>3</v>
      </c>
      <c r="W16" t="s">
        <v>1</v>
      </c>
      <c r="X16" t="s">
        <v>2</v>
      </c>
      <c r="Y16" t="s">
        <v>4</v>
      </c>
      <c r="Z16" t="s">
        <v>95</v>
      </c>
    </row>
    <row r="17" spans="1:26" ht="16" x14ac:dyDescent="0.25">
      <c r="B17">
        <v>2</v>
      </c>
      <c r="C17">
        <v>68.033550792171482</v>
      </c>
      <c r="V17" t="s">
        <v>26</v>
      </c>
      <c r="W17">
        <v>1</v>
      </c>
      <c r="X17">
        <v>-10.5</v>
      </c>
      <c r="Y17">
        <f>AVERAGE(X17:X28)</f>
        <v>-0.86014373346394901</v>
      </c>
      <c r="Z17" s="4">
        <f>STDEV(X17:X28) /SQRT(COUNT(X17:X28))</f>
        <v>4.0163059020249836</v>
      </c>
    </row>
    <row r="18" spans="1:26" x14ac:dyDescent="0.2">
      <c r="B18">
        <v>3</v>
      </c>
      <c r="C18">
        <v>52.196382428940566</v>
      </c>
      <c r="H18" t="s">
        <v>3</v>
      </c>
      <c r="I18" t="s">
        <v>1</v>
      </c>
      <c r="J18" t="s">
        <v>2</v>
      </c>
      <c r="K18" t="s">
        <v>4</v>
      </c>
      <c r="L18" t="s">
        <v>95</v>
      </c>
      <c r="O18" t="s">
        <v>3</v>
      </c>
      <c r="P18" t="s">
        <v>1</v>
      </c>
      <c r="Q18" t="s">
        <v>2</v>
      </c>
      <c r="R18" t="s">
        <v>4</v>
      </c>
      <c r="S18" t="s">
        <v>95</v>
      </c>
      <c r="W18">
        <v>2</v>
      </c>
      <c r="X18">
        <v>-4.8245614035087705</v>
      </c>
    </row>
    <row r="19" spans="1:26" ht="16" x14ac:dyDescent="0.25">
      <c r="B19">
        <v>4</v>
      </c>
      <c r="C19">
        <v>41.245421245421241</v>
      </c>
      <c r="H19" t="s">
        <v>26</v>
      </c>
      <c r="I19">
        <v>1</v>
      </c>
      <c r="J19">
        <v>-25</v>
      </c>
      <c r="K19">
        <f>AVERAGE(J19:J37)</f>
        <v>6.4393900264136263</v>
      </c>
      <c r="L19" s="4">
        <f>STDEV(J19:J37) /SQRT(COUNT(J19:J37))</f>
        <v>3.5243580671906294</v>
      </c>
      <c r="O19" t="s">
        <v>26</v>
      </c>
      <c r="P19">
        <v>1</v>
      </c>
      <c r="Q19">
        <v>22.4400871459695</v>
      </c>
      <c r="R19">
        <f>AVERAGE(Q19:Q33)</f>
        <v>32.684656224311389</v>
      </c>
      <c r="S19" s="4">
        <f>STDEV(Q19:Q33) /SQRT(COUNT(Q19:Q33))</f>
        <v>3.5802461878741836</v>
      </c>
      <c r="W19">
        <v>3</v>
      </c>
      <c r="X19">
        <v>22.916666666666668</v>
      </c>
    </row>
    <row r="20" spans="1:26" x14ac:dyDescent="0.2">
      <c r="B20">
        <v>5</v>
      </c>
      <c r="C20">
        <v>18.779904306220097</v>
      </c>
      <c r="I20">
        <v>2</v>
      </c>
      <c r="J20">
        <v>21.861471861471863</v>
      </c>
      <c r="P20">
        <v>2</v>
      </c>
      <c r="Q20">
        <v>39.619164619164621</v>
      </c>
      <c r="W20">
        <v>4</v>
      </c>
      <c r="X20">
        <v>-22.171945701357465</v>
      </c>
    </row>
    <row r="21" spans="1:26" x14ac:dyDescent="0.2">
      <c r="B21">
        <v>6</v>
      </c>
      <c r="C21">
        <v>26.231060606060606</v>
      </c>
      <c r="I21">
        <v>3</v>
      </c>
      <c r="J21">
        <v>-10.38961038961039</v>
      </c>
      <c r="P21">
        <v>3</v>
      </c>
      <c r="Q21">
        <v>44.555353901996369</v>
      </c>
      <c r="W21">
        <v>5</v>
      </c>
      <c r="X21">
        <v>13.590116279069768</v>
      </c>
    </row>
    <row r="22" spans="1:26" x14ac:dyDescent="0.2">
      <c r="B22">
        <v>7</v>
      </c>
      <c r="C22">
        <v>20.922431865828091</v>
      </c>
      <c r="I22">
        <v>4</v>
      </c>
      <c r="J22">
        <v>16.19047619047619</v>
      </c>
      <c r="P22">
        <v>4</v>
      </c>
      <c r="Q22">
        <v>34.58683819891143</v>
      </c>
      <c r="W22">
        <v>6</v>
      </c>
      <c r="X22">
        <v>-12.162162162162161</v>
      </c>
    </row>
    <row r="23" spans="1:26" x14ac:dyDescent="0.2">
      <c r="B23">
        <v>8</v>
      </c>
      <c r="C23">
        <v>44.731182795698921</v>
      </c>
      <c r="I23">
        <v>5</v>
      </c>
      <c r="J23">
        <v>7.309941520467838</v>
      </c>
      <c r="P23">
        <v>5</v>
      </c>
      <c r="Q23">
        <v>18.779904306220097</v>
      </c>
      <c r="W23">
        <v>7</v>
      </c>
      <c r="X23">
        <v>-5.8139534883720927</v>
      </c>
    </row>
    <row r="24" spans="1:26" x14ac:dyDescent="0.2">
      <c r="I24">
        <v>6</v>
      </c>
      <c r="J24">
        <v>8.3333333333333321</v>
      </c>
      <c r="P24">
        <v>6</v>
      </c>
      <c r="Q24">
        <v>26.231060606060606</v>
      </c>
      <c r="W24">
        <v>8</v>
      </c>
      <c r="X24">
        <v>-1.1801730920535012</v>
      </c>
    </row>
    <row r="25" spans="1:26" x14ac:dyDescent="0.2">
      <c r="A25" t="s">
        <v>5</v>
      </c>
      <c r="B25" t="s">
        <v>1</v>
      </c>
      <c r="C25" t="s">
        <v>2</v>
      </c>
      <c r="D25" t="s">
        <v>4</v>
      </c>
      <c r="E25" t="s">
        <v>95</v>
      </c>
      <c r="I25">
        <v>7</v>
      </c>
      <c r="J25">
        <v>2.9411764705882355</v>
      </c>
      <c r="P25">
        <v>7</v>
      </c>
      <c r="Q25">
        <v>20.922431865828091</v>
      </c>
      <c r="W25">
        <v>9</v>
      </c>
      <c r="X25">
        <v>6.7226890756302513</v>
      </c>
    </row>
    <row r="26" spans="1:26" ht="16" x14ac:dyDescent="0.25">
      <c r="A26" t="s">
        <v>28</v>
      </c>
      <c r="B26">
        <v>1</v>
      </c>
      <c r="C26">
        <v>12.368421052631579</v>
      </c>
      <c r="D26">
        <f>AVERAGE(C26:C33)</f>
        <v>35.83365738689767</v>
      </c>
      <c r="E26" s="4">
        <f>STDEV(C26:C33) /SQRT(COUNT(C26:C33))</f>
        <v>5.8825914747540446</v>
      </c>
      <c r="I26">
        <v>8</v>
      </c>
      <c r="J26">
        <v>8.3333333333333339</v>
      </c>
      <c r="P26">
        <v>8</v>
      </c>
      <c r="Q26">
        <v>16</v>
      </c>
      <c r="W26">
        <v>10</v>
      </c>
      <c r="X26">
        <v>-0.26525198938992034</v>
      </c>
    </row>
    <row r="27" spans="1:26" x14ac:dyDescent="0.2">
      <c r="B27">
        <v>2</v>
      </c>
      <c r="C27">
        <v>27.058823529411764</v>
      </c>
      <c r="I27">
        <v>9</v>
      </c>
      <c r="J27">
        <v>28.307939053728951</v>
      </c>
      <c r="P27">
        <v>9</v>
      </c>
      <c r="Q27">
        <v>22.222222222222221</v>
      </c>
      <c r="W27">
        <v>11</v>
      </c>
      <c r="X27">
        <v>-15.185185185185185</v>
      </c>
    </row>
    <row r="28" spans="1:26" x14ac:dyDescent="0.2">
      <c r="B28">
        <v>3</v>
      </c>
      <c r="C28">
        <v>53.469387755102041</v>
      </c>
      <c r="I28">
        <v>10</v>
      </c>
      <c r="J28">
        <v>18.206896551724139</v>
      </c>
      <c r="P28">
        <v>10</v>
      </c>
      <c r="Q28">
        <v>52.090592334494772</v>
      </c>
      <c r="W28">
        <v>12</v>
      </c>
      <c r="X28">
        <v>18.552036199095021</v>
      </c>
    </row>
    <row r="29" spans="1:26" x14ac:dyDescent="0.2">
      <c r="B29">
        <v>4</v>
      </c>
      <c r="C29">
        <v>49.194414607948445</v>
      </c>
      <c r="I29">
        <v>11</v>
      </c>
      <c r="J29">
        <v>21.839080459770116</v>
      </c>
      <c r="P29">
        <v>11</v>
      </c>
      <c r="Q29">
        <v>31.632653061224488</v>
      </c>
    </row>
    <row r="30" spans="1:26" x14ac:dyDescent="0.2">
      <c r="B30">
        <v>5</v>
      </c>
      <c r="C30">
        <v>51.242236024844722</v>
      </c>
      <c r="I30">
        <v>12</v>
      </c>
      <c r="J30">
        <v>29.166666666666668</v>
      </c>
      <c r="P30">
        <v>12</v>
      </c>
      <c r="Q30">
        <v>48.571428571428569</v>
      </c>
      <c r="V30" t="s">
        <v>5</v>
      </c>
      <c r="W30" t="s">
        <v>1</v>
      </c>
      <c r="X30" t="s">
        <v>2</v>
      </c>
      <c r="Y30" t="s">
        <v>4</v>
      </c>
      <c r="Z30" t="s">
        <v>95</v>
      </c>
    </row>
    <row r="31" spans="1:26" ht="16" x14ac:dyDescent="0.25">
      <c r="B31">
        <v>6</v>
      </c>
      <c r="C31">
        <v>49.284332688588009</v>
      </c>
      <c r="I31">
        <v>13</v>
      </c>
      <c r="J31">
        <v>13.105413105413106</v>
      </c>
      <c r="P31">
        <v>13</v>
      </c>
      <c r="Q31">
        <v>61.818181818181813</v>
      </c>
      <c r="V31" t="s">
        <v>30</v>
      </c>
      <c r="W31">
        <v>1</v>
      </c>
      <c r="X31">
        <v>30</v>
      </c>
      <c r="Y31">
        <f>AVERAGE(X31:X42)</f>
        <v>21.13109787419388</v>
      </c>
      <c r="Z31" s="4">
        <f>STDEV(X31:X42) /SQRT(COUNT(X31:X42))</f>
        <v>3.5308459695481957</v>
      </c>
    </row>
    <row r="32" spans="1:26" x14ac:dyDescent="0.2">
      <c r="B32">
        <v>7</v>
      </c>
      <c r="C32">
        <v>18.779904306220097</v>
      </c>
      <c r="I32">
        <v>14</v>
      </c>
      <c r="J32">
        <v>13.039399624765476</v>
      </c>
      <c r="P32">
        <v>14</v>
      </c>
      <c r="Q32">
        <v>20.496894409937887</v>
      </c>
      <c r="W32">
        <v>2</v>
      </c>
      <c r="X32">
        <v>31.878557874762812</v>
      </c>
    </row>
    <row r="33" spans="1:24" x14ac:dyDescent="0.2">
      <c r="B33">
        <v>8</v>
      </c>
      <c r="C33">
        <v>25.271739130434781</v>
      </c>
      <c r="I33">
        <v>15</v>
      </c>
      <c r="J33">
        <v>-4.3062200956937779</v>
      </c>
      <c r="P33">
        <v>15</v>
      </c>
      <c r="Q33">
        <v>30.303030303030305</v>
      </c>
      <c r="W33">
        <v>3</v>
      </c>
      <c r="X33">
        <v>4.329004329004329</v>
      </c>
    </row>
    <row r="34" spans="1:24" x14ac:dyDescent="0.2">
      <c r="I34">
        <v>16</v>
      </c>
      <c r="J34">
        <v>-17.5</v>
      </c>
      <c r="W34">
        <v>4</v>
      </c>
      <c r="X34">
        <v>37.536231884057969</v>
      </c>
    </row>
    <row r="35" spans="1:24" x14ac:dyDescent="0.2">
      <c r="A35" s="2" t="s">
        <v>6</v>
      </c>
      <c r="I35">
        <v>17</v>
      </c>
      <c r="J35">
        <v>8.6532205595315563</v>
      </c>
      <c r="O35" t="s">
        <v>5</v>
      </c>
      <c r="P35" t="s">
        <v>1</v>
      </c>
      <c r="Q35" t="s">
        <v>2</v>
      </c>
      <c r="R35" t="s">
        <v>4</v>
      </c>
      <c r="S35" t="s">
        <v>95</v>
      </c>
      <c r="W35">
        <v>5</v>
      </c>
      <c r="X35">
        <v>11.619047619047619</v>
      </c>
    </row>
    <row r="36" spans="1:24" ht="16" x14ac:dyDescent="0.25">
      <c r="A36" s="2" t="s">
        <v>7</v>
      </c>
      <c r="I36">
        <v>18</v>
      </c>
      <c r="J36">
        <v>-7.7441077441077439</v>
      </c>
      <c r="O36" t="s">
        <v>30</v>
      </c>
      <c r="P36">
        <v>1</v>
      </c>
      <c r="Q36">
        <v>52.75157232704403</v>
      </c>
      <c r="R36">
        <f>AVERAGE(Q36:Q50)</f>
        <v>28.707147681644123</v>
      </c>
      <c r="S36" s="4">
        <f>STDEV(Q36:Q50) /SQRT(COUNT(Q36:Q50))</f>
        <v>3.1182639192300576</v>
      </c>
      <c r="W36">
        <v>6</v>
      </c>
      <c r="X36">
        <v>40</v>
      </c>
    </row>
    <row r="37" spans="1:24" x14ac:dyDescent="0.2">
      <c r="A37" s="2" t="s">
        <v>475</v>
      </c>
      <c r="I37">
        <v>19</v>
      </c>
      <c r="J37">
        <v>-10</v>
      </c>
      <c r="P37">
        <v>2</v>
      </c>
      <c r="Q37">
        <v>33.333333333333336</v>
      </c>
      <c r="W37">
        <v>7</v>
      </c>
      <c r="X37">
        <v>16.666666666666668</v>
      </c>
    </row>
    <row r="38" spans="1:24" x14ac:dyDescent="0.2">
      <c r="A38" s="2" t="s">
        <v>476</v>
      </c>
      <c r="P38">
        <v>3</v>
      </c>
      <c r="Q38">
        <v>36.53846153846154</v>
      </c>
      <c r="W38">
        <v>8</v>
      </c>
      <c r="X38">
        <v>7.6190476190476186</v>
      </c>
    </row>
    <row r="39" spans="1:24" x14ac:dyDescent="0.2">
      <c r="A39" s="2" t="s">
        <v>477</v>
      </c>
      <c r="H39" t="s">
        <v>5</v>
      </c>
      <c r="I39" t="s">
        <v>1</v>
      </c>
      <c r="J39" t="s">
        <v>2</v>
      </c>
      <c r="K39" t="s">
        <v>4</v>
      </c>
      <c r="L39" t="s">
        <v>95</v>
      </c>
      <c r="P39">
        <v>4</v>
      </c>
      <c r="Q39">
        <v>20.022796352583587</v>
      </c>
      <c r="W39">
        <v>9</v>
      </c>
      <c r="X39">
        <v>29.408686551543695</v>
      </c>
    </row>
    <row r="40" spans="1:24" ht="16" x14ac:dyDescent="0.25">
      <c r="A40" s="3" t="s">
        <v>13</v>
      </c>
      <c r="H40" t="s">
        <v>28</v>
      </c>
      <c r="I40">
        <v>1</v>
      </c>
      <c r="J40">
        <v>16.71826625386997</v>
      </c>
      <c r="K40">
        <f>AVERAGE(J40:J58)</f>
        <v>22.582454183180459</v>
      </c>
      <c r="L40" s="4">
        <f>STDEV(J40:J58) /SQRT(COUNT(J40:J58))</f>
        <v>2.9073714118948186</v>
      </c>
      <c r="P40">
        <v>5</v>
      </c>
      <c r="Q40">
        <v>33.068081343943412</v>
      </c>
      <c r="W40">
        <v>10</v>
      </c>
      <c r="X40">
        <v>21.293800539083559</v>
      </c>
    </row>
    <row r="41" spans="1:24" x14ac:dyDescent="0.2">
      <c r="I41">
        <v>2</v>
      </c>
      <c r="J41">
        <v>11.228070175438596</v>
      </c>
      <c r="P41">
        <v>6</v>
      </c>
      <c r="Q41">
        <v>49.284332688588009</v>
      </c>
      <c r="W41">
        <v>11</v>
      </c>
      <c r="X41">
        <v>12.38404452690167</v>
      </c>
    </row>
    <row r="42" spans="1:24" x14ac:dyDescent="0.2">
      <c r="I42">
        <v>3</v>
      </c>
      <c r="J42">
        <v>45.370370370370367</v>
      </c>
      <c r="P42">
        <v>7</v>
      </c>
      <c r="Q42">
        <v>18.779904306220097</v>
      </c>
      <c r="W42">
        <v>12</v>
      </c>
      <c r="X42">
        <v>10.838086880210618</v>
      </c>
    </row>
    <row r="43" spans="1:24" x14ac:dyDescent="0.2">
      <c r="I43">
        <v>4</v>
      </c>
      <c r="J43">
        <v>28.846153846153847</v>
      </c>
      <c r="P43">
        <v>8</v>
      </c>
      <c r="Q43">
        <v>25.271739130434781</v>
      </c>
    </row>
    <row r="44" spans="1:24" x14ac:dyDescent="0.2">
      <c r="I44">
        <v>5</v>
      </c>
      <c r="J44">
        <v>15.897435897435896</v>
      </c>
      <c r="P44">
        <v>9</v>
      </c>
      <c r="Q44">
        <v>21.428571428571427</v>
      </c>
      <c r="V44" t="s">
        <v>6</v>
      </c>
    </row>
    <row r="45" spans="1:24" x14ac:dyDescent="0.2">
      <c r="I45">
        <v>6</v>
      </c>
      <c r="J45">
        <v>33.77967133292757</v>
      </c>
      <c r="P45">
        <v>10</v>
      </c>
      <c r="Q45">
        <v>14.814814814814817</v>
      </c>
      <c r="V45" t="s">
        <v>18</v>
      </c>
    </row>
    <row r="46" spans="1:24" x14ac:dyDescent="0.2">
      <c r="I46">
        <v>7</v>
      </c>
      <c r="J46">
        <v>30.76923076923077</v>
      </c>
      <c r="P46">
        <v>11</v>
      </c>
      <c r="Q46">
        <v>21.888888888888889</v>
      </c>
      <c r="V46" t="s">
        <v>465</v>
      </c>
    </row>
    <row r="47" spans="1:24" x14ac:dyDescent="0.2">
      <c r="I47">
        <v>8</v>
      </c>
      <c r="J47">
        <v>12.068965517241379</v>
      </c>
      <c r="P47">
        <v>12</v>
      </c>
      <c r="Q47">
        <v>28.968253968253968</v>
      </c>
      <c r="V47" t="s">
        <v>466</v>
      </c>
    </row>
    <row r="48" spans="1:24" x14ac:dyDescent="0.2">
      <c r="I48">
        <v>9</v>
      </c>
      <c r="J48">
        <v>31.666666666666664</v>
      </c>
      <c r="Q48">
        <v>16.705882352941174</v>
      </c>
      <c r="V48" t="s">
        <v>467</v>
      </c>
    </row>
    <row r="49" spans="8:22" x14ac:dyDescent="0.2">
      <c r="I49">
        <v>10</v>
      </c>
      <c r="J49">
        <v>19.047619047619047</v>
      </c>
      <c r="Q49">
        <v>41.450216450216452</v>
      </c>
      <c r="V49" t="s">
        <v>37</v>
      </c>
    </row>
    <row r="50" spans="8:22" x14ac:dyDescent="0.2">
      <c r="I50">
        <v>11</v>
      </c>
      <c r="J50">
        <v>19.1757779646762</v>
      </c>
      <c r="O50" s="2"/>
      <c r="Q50">
        <v>16.300366300366299</v>
      </c>
      <c r="V50" t="s">
        <v>38</v>
      </c>
    </row>
    <row r="51" spans="8:22" x14ac:dyDescent="0.2">
      <c r="I51">
        <v>12</v>
      </c>
      <c r="J51">
        <v>15.501792114695341</v>
      </c>
      <c r="O51" s="2"/>
      <c r="V51" t="s">
        <v>13</v>
      </c>
    </row>
    <row r="52" spans="8:22" x14ac:dyDescent="0.2">
      <c r="I52">
        <v>13</v>
      </c>
      <c r="J52">
        <v>24.016563146997928</v>
      </c>
      <c r="O52" t="s">
        <v>6</v>
      </c>
    </row>
    <row r="53" spans="8:22" x14ac:dyDescent="0.2">
      <c r="I53">
        <v>14</v>
      </c>
      <c r="J53">
        <v>15.151515151515152</v>
      </c>
      <c r="O53" t="s">
        <v>7</v>
      </c>
    </row>
    <row r="54" spans="8:22" x14ac:dyDescent="0.2">
      <c r="I54">
        <v>15</v>
      </c>
      <c r="J54">
        <v>21.481481481481481</v>
      </c>
      <c r="O54" t="s">
        <v>462</v>
      </c>
    </row>
    <row r="55" spans="8:22" x14ac:dyDescent="0.2">
      <c r="I55">
        <v>16</v>
      </c>
      <c r="J55">
        <v>13.687881429816914</v>
      </c>
      <c r="O55" t="s">
        <v>463</v>
      </c>
    </row>
    <row r="56" spans="8:22" x14ac:dyDescent="0.2">
      <c r="I56">
        <v>17</v>
      </c>
      <c r="J56">
        <v>4.9853372434017587</v>
      </c>
      <c r="O56" t="s">
        <v>464</v>
      </c>
    </row>
    <row r="57" spans="8:22" x14ac:dyDescent="0.2">
      <c r="I57">
        <v>18</v>
      </c>
      <c r="J57">
        <v>56.25</v>
      </c>
      <c r="O57" t="s">
        <v>13</v>
      </c>
    </row>
    <row r="58" spans="8:22" x14ac:dyDescent="0.2">
      <c r="I58">
        <v>19</v>
      </c>
      <c r="J58">
        <v>13.423831070889893</v>
      </c>
    </row>
    <row r="60" spans="8:22" x14ac:dyDescent="0.2">
      <c r="H60" t="s">
        <v>6</v>
      </c>
    </row>
    <row r="61" spans="8:22" x14ac:dyDescent="0.2">
      <c r="H61" t="s">
        <v>19</v>
      </c>
    </row>
    <row r="62" spans="8:22" x14ac:dyDescent="0.2">
      <c r="H62" t="s">
        <v>459</v>
      </c>
    </row>
    <row r="63" spans="8:22" x14ac:dyDescent="0.2">
      <c r="H63" t="s">
        <v>460</v>
      </c>
    </row>
    <row r="64" spans="8:22" x14ac:dyDescent="0.2">
      <c r="H64" t="s">
        <v>461</v>
      </c>
    </row>
    <row r="65" spans="1:12" x14ac:dyDescent="0.2">
      <c r="H65" t="s">
        <v>37</v>
      </c>
    </row>
    <row r="66" spans="1:12" x14ac:dyDescent="0.2">
      <c r="H66" t="s">
        <v>38</v>
      </c>
    </row>
    <row r="67" spans="1:12" x14ac:dyDescent="0.2">
      <c r="H67" t="s">
        <v>13</v>
      </c>
    </row>
    <row r="69" spans="1:12" s="1" customFormat="1" x14ac:dyDescent="0.2"/>
    <row r="70" spans="1:12" x14ac:dyDescent="0.2">
      <c r="A70" t="s">
        <v>14</v>
      </c>
      <c r="H70" t="s">
        <v>15</v>
      </c>
    </row>
    <row r="71" spans="1:12" x14ac:dyDescent="0.2">
      <c r="A71" t="s">
        <v>61</v>
      </c>
      <c r="B71" t="s">
        <v>1</v>
      </c>
      <c r="C71" t="s">
        <v>2</v>
      </c>
      <c r="D71" t="s">
        <v>4</v>
      </c>
      <c r="E71" t="s">
        <v>95</v>
      </c>
      <c r="H71" t="s">
        <v>61</v>
      </c>
      <c r="I71" t="s">
        <v>1</v>
      </c>
      <c r="J71" t="s">
        <v>2</v>
      </c>
      <c r="K71" t="s">
        <v>4</v>
      </c>
      <c r="L71" t="s">
        <v>95</v>
      </c>
    </row>
    <row r="72" spans="1:12" ht="16" x14ac:dyDescent="0.25">
      <c r="A72" t="s">
        <v>468</v>
      </c>
      <c r="B72">
        <v>1</v>
      </c>
      <c r="C72">
        <v>-13.660477453580903</v>
      </c>
      <c r="D72">
        <f>AVERAGE(C72:C81)</f>
        <v>-5.86803080357162</v>
      </c>
      <c r="E72" s="4">
        <f>STDEV(C72:C81) /SQRT(COUNT(C72:C81))</f>
        <v>3.2242745807094373</v>
      </c>
      <c r="H72" t="s">
        <v>472</v>
      </c>
      <c r="I72">
        <v>1</v>
      </c>
      <c r="J72">
        <v>7.956989247311828</v>
      </c>
      <c r="K72">
        <f>AVERAGE(J72:J79)</f>
        <v>4.6792260338815508</v>
      </c>
      <c r="L72" s="4">
        <f>STDEV(J72:J79) /SQRT(COUNT(J72:J79))</f>
        <v>1.5433229918242721</v>
      </c>
    </row>
    <row r="73" spans="1:12" x14ac:dyDescent="0.2">
      <c r="B73">
        <v>2</v>
      </c>
      <c r="C73">
        <v>1.2865497076023402</v>
      </c>
      <c r="I73">
        <v>2</v>
      </c>
      <c r="J73">
        <v>13.888888888888889</v>
      </c>
    </row>
    <row r="74" spans="1:12" x14ac:dyDescent="0.2">
      <c r="B74">
        <v>3</v>
      </c>
      <c r="C74">
        <v>-4.6568627450980395</v>
      </c>
      <c r="I74">
        <v>3</v>
      </c>
      <c r="J74">
        <v>5.2884615384615383</v>
      </c>
    </row>
    <row r="75" spans="1:12" x14ac:dyDescent="0.2">
      <c r="B75">
        <v>4</v>
      </c>
      <c r="C75">
        <v>-3.5190615835777121</v>
      </c>
      <c r="I75">
        <v>4</v>
      </c>
      <c r="J75">
        <v>0.75757575757575779</v>
      </c>
    </row>
    <row r="76" spans="1:12" x14ac:dyDescent="0.2">
      <c r="B76">
        <v>5</v>
      </c>
      <c r="C76">
        <v>5.2631578947368425</v>
      </c>
      <c r="I76">
        <v>5</v>
      </c>
      <c r="J76">
        <v>1.6666666666666661</v>
      </c>
    </row>
    <row r="77" spans="1:12" x14ac:dyDescent="0.2">
      <c r="B77">
        <v>6</v>
      </c>
      <c r="C77">
        <v>-12.51700680272109</v>
      </c>
      <c r="I77">
        <v>6</v>
      </c>
      <c r="J77">
        <v>2.6315789473684212</v>
      </c>
    </row>
    <row r="78" spans="1:12" x14ac:dyDescent="0.2">
      <c r="B78">
        <v>7</v>
      </c>
      <c r="C78">
        <v>7.6190476190476168</v>
      </c>
      <c r="I78">
        <v>7</v>
      </c>
      <c r="J78">
        <v>3.0323450134770886</v>
      </c>
    </row>
    <row r="79" spans="1:12" x14ac:dyDescent="0.2">
      <c r="B79">
        <v>8</v>
      </c>
      <c r="C79">
        <v>1.5837104072398169</v>
      </c>
      <c r="I79">
        <v>8</v>
      </c>
      <c r="J79">
        <v>2.2113022113022112</v>
      </c>
    </row>
    <row r="80" spans="1:12" x14ac:dyDescent="0.2">
      <c r="B80">
        <v>9</v>
      </c>
      <c r="C80">
        <v>-17.857142857142858</v>
      </c>
    </row>
    <row r="81" spans="1:12" x14ac:dyDescent="0.2">
      <c r="B81">
        <v>10</v>
      </c>
      <c r="C81">
        <v>-22.222222222222221</v>
      </c>
      <c r="H81" t="s">
        <v>469</v>
      </c>
      <c r="I81" t="s">
        <v>1</v>
      </c>
      <c r="J81" t="s">
        <v>2</v>
      </c>
      <c r="K81" t="s">
        <v>4</v>
      </c>
      <c r="L81" t="s">
        <v>95</v>
      </c>
    </row>
    <row r="82" spans="1:12" ht="16" x14ac:dyDescent="0.25">
      <c r="H82" t="s">
        <v>473</v>
      </c>
      <c r="I82">
        <v>1</v>
      </c>
      <c r="J82">
        <v>6.7193675889328066</v>
      </c>
      <c r="K82">
        <f>AVERAGE(J82:J89)</f>
        <v>21.651394029342779</v>
      </c>
      <c r="L82" s="4">
        <f>STDEV(J82:J89) /SQRT(COUNT(J82:J89))</f>
        <v>4.3128536387284191</v>
      </c>
    </row>
    <row r="83" spans="1:12" x14ac:dyDescent="0.2">
      <c r="A83" t="s">
        <v>469</v>
      </c>
      <c r="B83" t="s">
        <v>1</v>
      </c>
      <c r="C83" t="s">
        <v>2</v>
      </c>
      <c r="D83" t="s">
        <v>4</v>
      </c>
      <c r="E83" t="s">
        <v>95</v>
      </c>
      <c r="I83">
        <v>2</v>
      </c>
      <c r="J83">
        <v>36.601307189542482</v>
      </c>
    </row>
    <row r="84" spans="1:12" ht="16" x14ac:dyDescent="0.25">
      <c r="A84" t="s">
        <v>470</v>
      </c>
      <c r="B84">
        <v>1</v>
      </c>
      <c r="C84">
        <v>1.25</v>
      </c>
      <c r="D84">
        <f>AVERAGE(C84:C91)</f>
        <v>13.585090404980239</v>
      </c>
      <c r="E84" s="4">
        <f>STDEV(C84:C91) /SQRT(COUNT(C84:C91))</f>
        <v>2.8320138133526664</v>
      </c>
      <c r="I84">
        <v>3</v>
      </c>
      <c r="J84">
        <v>20.995670995670999</v>
      </c>
    </row>
    <row r="85" spans="1:12" x14ac:dyDescent="0.2">
      <c r="B85">
        <v>2</v>
      </c>
      <c r="C85">
        <v>8.6274509803921582</v>
      </c>
      <c r="I85">
        <v>4</v>
      </c>
      <c r="J85">
        <v>38.257575757575758</v>
      </c>
    </row>
    <row r="86" spans="1:12" x14ac:dyDescent="0.2">
      <c r="B86">
        <v>3</v>
      </c>
      <c r="C86">
        <v>7.4113856068743287</v>
      </c>
      <c r="I86">
        <v>5</v>
      </c>
      <c r="J86">
        <v>28.75</v>
      </c>
    </row>
    <row r="87" spans="1:12" x14ac:dyDescent="0.2">
      <c r="B87">
        <v>4</v>
      </c>
      <c r="C87">
        <v>17.325227963525837</v>
      </c>
      <c r="I87">
        <v>6</v>
      </c>
      <c r="J87">
        <v>21.75925925925926</v>
      </c>
    </row>
    <row r="88" spans="1:12" x14ac:dyDescent="0.2">
      <c r="B88">
        <v>5</v>
      </c>
      <c r="C88">
        <v>20.967741935483872</v>
      </c>
      <c r="I88">
        <v>7</v>
      </c>
      <c r="J88">
        <v>10.207336523125997</v>
      </c>
    </row>
    <row r="89" spans="1:12" x14ac:dyDescent="0.2">
      <c r="B89">
        <v>6</v>
      </c>
      <c r="C89">
        <v>9.0849673202614394</v>
      </c>
      <c r="I89">
        <v>8</v>
      </c>
      <c r="J89">
        <v>9.9206349206349209</v>
      </c>
    </row>
    <row r="90" spans="1:12" x14ac:dyDescent="0.2">
      <c r="B90">
        <v>7</v>
      </c>
      <c r="C90">
        <v>20.648648648648649</v>
      </c>
    </row>
    <row r="91" spans="1:12" x14ac:dyDescent="0.2">
      <c r="B91">
        <v>8</v>
      </c>
      <c r="C91">
        <v>23.365300784655624</v>
      </c>
      <c r="H91" t="s">
        <v>6</v>
      </c>
    </row>
    <row r="92" spans="1:12" x14ac:dyDescent="0.2">
      <c r="H92" t="s">
        <v>19</v>
      </c>
    </row>
    <row r="93" spans="1:12" x14ac:dyDescent="0.2">
      <c r="A93" t="s">
        <v>6</v>
      </c>
      <c r="H93" t="s">
        <v>474</v>
      </c>
    </row>
    <row r="94" spans="1:12" x14ac:dyDescent="0.2">
      <c r="A94" t="s">
        <v>18</v>
      </c>
      <c r="H94" t="s">
        <v>37</v>
      </c>
    </row>
    <row r="95" spans="1:12" x14ac:dyDescent="0.2">
      <c r="A95" t="s">
        <v>471</v>
      </c>
      <c r="H95" t="s">
        <v>38</v>
      </c>
    </row>
    <row r="96" spans="1:12" x14ac:dyDescent="0.2">
      <c r="A96" t="s">
        <v>37</v>
      </c>
      <c r="H96" t="s">
        <v>13</v>
      </c>
    </row>
    <row r="97" spans="1:1" x14ac:dyDescent="0.2">
      <c r="A97" t="s">
        <v>38</v>
      </c>
    </row>
    <row r="98" spans="1:1" x14ac:dyDescent="0.2">
      <c r="A98" t="s">
        <v>13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D1E0-27CD-4806-B731-59540DCE9E57}">
  <dimension ref="A1:AG159"/>
  <sheetViews>
    <sheetView topLeftCell="N1" workbookViewId="0">
      <selection activeCell="Z3" sqref="Z3"/>
    </sheetView>
  </sheetViews>
  <sheetFormatPr baseColWidth="10" defaultColWidth="11.5" defaultRowHeight="15" x14ac:dyDescent="0.2"/>
  <cols>
    <col min="7" max="7" width="11.5" style="1"/>
    <col min="14" max="14" width="11.5" style="1"/>
    <col min="21" max="21" width="11.5" style="1"/>
    <col min="28" max="28" width="11.5" style="1"/>
  </cols>
  <sheetData>
    <row r="1" spans="1:33" x14ac:dyDescent="0.2">
      <c r="A1" t="s">
        <v>9</v>
      </c>
      <c r="C1" t="s">
        <v>390</v>
      </c>
      <c r="H1" t="s">
        <v>10</v>
      </c>
      <c r="J1" t="s">
        <v>390</v>
      </c>
      <c r="O1" t="s">
        <v>11</v>
      </c>
      <c r="Q1" t="s">
        <v>390</v>
      </c>
      <c r="V1" t="s">
        <v>12</v>
      </c>
      <c r="X1" t="s">
        <v>390</v>
      </c>
      <c r="AC1" t="s">
        <v>14</v>
      </c>
      <c r="AE1" t="s">
        <v>391</v>
      </c>
    </row>
    <row r="2" spans="1:33" x14ac:dyDescent="0.2">
      <c r="A2" t="s">
        <v>61</v>
      </c>
      <c r="B2" t="s">
        <v>1</v>
      </c>
      <c r="C2" t="s">
        <v>2</v>
      </c>
      <c r="D2" t="s">
        <v>4</v>
      </c>
      <c r="E2" t="s">
        <v>95</v>
      </c>
      <c r="H2" t="s">
        <v>61</v>
      </c>
      <c r="I2" t="s">
        <v>1</v>
      </c>
      <c r="J2" t="s">
        <v>2</v>
      </c>
      <c r="K2" t="s">
        <v>4</v>
      </c>
      <c r="L2" t="s">
        <v>95</v>
      </c>
      <c r="O2" t="s">
        <v>61</v>
      </c>
      <c r="P2" t="s">
        <v>1</v>
      </c>
      <c r="Q2" t="s">
        <v>2</v>
      </c>
      <c r="R2" t="s">
        <v>4</v>
      </c>
      <c r="S2" t="s">
        <v>95</v>
      </c>
      <c r="V2" t="s">
        <v>61</v>
      </c>
      <c r="W2" t="s">
        <v>1</v>
      </c>
      <c r="X2" t="s">
        <v>2</v>
      </c>
      <c r="Y2" t="s">
        <v>4</v>
      </c>
      <c r="Z2" t="s">
        <v>95</v>
      </c>
      <c r="AC2" t="s">
        <v>61</v>
      </c>
      <c r="AD2" t="s">
        <v>1</v>
      </c>
      <c r="AE2" t="s">
        <v>2</v>
      </c>
      <c r="AF2" t="s">
        <v>4</v>
      </c>
      <c r="AG2" t="s">
        <v>95</v>
      </c>
    </row>
    <row r="3" spans="1:33" ht="16" x14ac:dyDescent="0.25">
      <c r="A3" t="s">
        <v>32</v>
      </c>
      <c r="B3">
        <v>1</v>
      </c>
      <c r="C3">
        <v>-1.7543859649122806</v>
      </c>
      <c r="D3">
        <f>AVERAGE(C3:C14)</f>
        <v>37.97114603638726</v>
      </c>
      <c r="E3" s="4">
        <f>STDEV(C3:C14) /SQRT(COUNT(C3:C14))</f>
        <v>6.9127331939641694</v>
      </c>
      <c r="H3" t="s">
        <v>32</v>
      </c>
      <c r="I3">
        <v>1</v>
      </c>
      <c r="J3">
        <v>-5.4545454545454541</v>
      </c>
      <c r="K3">
        <f>AVERAGE(J3:J14)</f>
        <v>26.798830654272461</v>
      </c>
      <c r="L3" s="4">
        <f>STDEV(J3:J14) /SQRT(COUNT(J3:J14))</f>
        <v>8.0599248245103823</v>
      </c>
      <c r="O3" t="s">
        <v>32</v>
      </c>
      <c r="P3">
        <v>1</v>
      </c>
      <c r="Q3">
        <v>20</v>
      </c>
      <c r="R3">
        <f>AVERAGE(Q3:Q14)</f>
        <v>34.962962009775453</v>
      </c>
      <c r="S3" s="4">
        <f>STDEV(Q3:Q14) /SQRT(COUNT(Q3:Q14))</f>
        <v>4.9056136778730206</v>
      </c>
      <c r="V3" t="s">
        <v>32</v>
      </c>
      <c r="W3">
        <v>1</v>
      </c>
      <c r="X3">
        <v>66.666666666666671</v>
      </c>
      <c r="Y3">
        <f>AVERAGE(X3:X14)</f>
        <v>55.340036386661097</v>
      </c>
      <c r="Z3" s="4">
        <f>STDEV(X3:X14) /SQRT(COUNT(X3:X14))</f>
        <v>4.4347831372469697</v>
      </c>
      <c r="AC3" t="s">
        <v>32</v>
      </c>
      <c r="AD3">
        <v>1</v>
      </c>
      <c r="AE3">
        <v>-40</v>
      </c>
      <c r="AF3">
        <f>AVERAGE(AE3:AE14)</f>
        <v>21.730044205786957</v>
      </c>
      <c r="AG3" s="4">
        <f>STDEV(AE3:AE14) /SQRT(COUNT(AE3:AE14))</f>
        <v>7.0901911194733938</v>
      </c>
    </row>
    <row r="4" spans="1:33" x14ac:dyDescent="0.2">
      <c r="B4">
        <v>2</v>
      </c>
      <c r="C4">
        <v>-9.5238095238095237</v>
      </c>
      <c r="I4">
        <v>2</v>
      </c>
      <c r="J4">
        <v>-7.4074074074074074</v>
      </c>
      <c r="P4">
        <v>2</v>
      </c>
      <c r="Q4">
        <v>47.945205479452056</v>
      </c>
      <c r="W4">
        <v>2</v>
      </c>
      <c r="X4">
        <v>56.666666666666671</v>
      </c>
      <c r="AD4">
        <v>2</v>
      </c>
      <c r="AE4">
        <v>28.925619834710744</v>
      </c>
    </row>
    <row r="5" spans="1:33" x14ac:dyDescent="0.2">
      <c r="B5">
        <v>3</v>
      </c>
      <c r="C5">
        <v>47.368421052631582</v>
      </c>
      <c r="I5">
        <v>3</v>
      </c>
      <c r="J5">
        <v>80</v>
      </c>
      <c r="P5">
        <v>3</v>
      </c>
      <c r="Q5">
        <v>13.432835820895523</v>
      </c>
      <c r="W5">
        <v>3</v>
      </c>
      <c r="X5">
        <v>47.186147186147181</v>
      </c>
      <c r="AD5">
        <v>3</v>
      </c>
      <c r="AE5">
        <v>17.391304347826086</v>
      </c>
    </row>
    <row r="6" spans="1:33" x14ac:dyDescent="0.2">
      <c r="B6">
        <v>4</v>
      </c>
      <c r="C6">
        <v>71.428571428571431</v>
      </c>
      <c r="I6">
        <v>4</v>
      </c>
      <c r="J6">
        <v>36.585365853658537</v>
      </c>
      <c r="P6">
        <v>4</v>
      </c>
      <c r="Q6">
        <v>32.173913043478258</v>
      </c>
      <c r="W6">
        <v>4</v>
      </c>
      <c r="X6">
        <v>65.684210526315795</v>
      </c>
      <c r="AD6">
        <v>4</v>
      </c>
      <c r="AE6">
        <v>47.368421052631582</v>
      </c>
    </row>
    <row r="7" spans="1:33" x14ac:dyDescent="0.2">
      <c r="B7">
        <v>5</v>
      </c>
      <c r="C7">
        <v>62.962962962962962</v>
      </c>
      <c r="I7">
        <v>5</v>
      </c>
      <c r="J7">
        <v>-15.254237288135593</v>
      </c>
      <c r="P7">
        <v>5</v>
      </c>
      <c r="Q7">
        <v>13.333333333333334</v>
      </c>
      <c r="W7">
        <v>5</v>
      </c>
      <c r="X7">
        <v>70</v>
      </c>
      <c r="AD7">
        <v>5</v>
      </c>
      <c r="AE7">
        <v>47.368421052631582</v>
      </c>
    </row>
    <row r="8" spans="1:33" x14ac:dyDescent="0.2">
      <c r="B8">
        <v>6</v>
      </c>
      <c r="C8">
        <v>47.368421052631582</v>
      </c>
      <c r="I8">
        <v>6</v>
      </c>
      <c r="J8">
        <v>33.333333333333336</v>
      </c>
      <c r="P8">
        <v>6</v>
      </c>
      <c r="Q8">
        <v>15.555555555555555</v>
      </c>
      <c r="W8">
        <v>6</v>
      </c>
      <c r="X8">
        <v>46.92307692307692</v>
      </c>
      <c r="AD8">
        <v>6</v>
      </c>
      <c r="AE8">
        <v>42</v>
      </c>
    </row>
    <row r="9" spans="1:33" x14ac:dyDescent="0.2">
      <c r="B9">
        <v>7</v>
      </c>
      <c r="C9">
        <v>42</v>
      </c>
      <c r="I9">
        <v>7</v>
      </c>
      <c r="J9">
        <v>5.0847457627118642</v>
      </c>
      <c r="P9">
        <v>7</v>
      </c>
      <c r="Q9">
        <v>44.186046511627907</v>
      </c>
      <c r="W9">
        <v>7</v>
      </c>
      <c r="X9">
        <v>65</v>
      </c>
      <c r="AD9">
        <v>7</v>
      </c>
      <c r="AE9">
        <v>12</v>
      </c>
    </row>
    <row r="10" spans="1:33" x14ac:dyDescent="0.2">
      <c r="B10">
        <v>8</v>
      </c>
      <c r="C10">
        <v>25.714285714285715</v>
      </c>
      <c r="I10">
        <v>8</v>
      </c>
      <c r="J10">
        <v>44</v>
      </c>
      <c r="P10">
        <v>8</v>
      </c>
      <c r="Q10">
        <v>47.692307692307693</v>
      </c>
      <c r="W10">
        <v>8</v>
      </c>
      <c r="X10">
        <v>17.934782608695652</v>
      </c>
      <c r="AD10">
        <v>8</v>
      </c>
      <c r="AE10">
        <v>10.204081632653061</v>
      </c>
    </row>
    <row r="11" spans="1:33" x14ac:dyDescent="0.2">
      <c r="B11">
        <v>9</v>
      </c>
      <c r="C11">
        <v>50</v>
      </c>
      <c r="I11">
        <v>9</v>
      </c>
      <c r="J11">
        <v>35.294117647058826</v>
      </c>
      <c r="P11">
        <v>9</v>
      </c>
      <c r="Q11">
        <v>33.333333333333336</v>
      </c>
      <c r="W11">
        <v>9</v>
      </c>
      <c r="X11">
        <v>72.522522522522522</v>
      </c>
      <c r="AD11">
        <v>9</v>
      </c>
      <c r="AE11">
        <v>45.454545454545453</v>
      </c>
    </row>
    <row r="12" spans="1:33" x14ac:dyDescent="0.2">
      <c r="B12">
        <v>10</v>
      </c>
      <c r="C12">
        <v>34.375</v>
      </c>
      <c r="I12">
        <v>10</v>
      </c>
      <c r="J12">
        <v>34.285714285714285</v>
      </c>
      <c r="P12">
        <v>10</v>
      </c>
      <c r="Q12">
        <v>67.441860465116278</v>
      </c>
      <c r="W12">
        <v>10</v>
      </c>
      <c r="X12">
        <v>60.386473429951693</v>
      </c>
      <c r="AD12">
        <v>10</v>
      </c>
      <c r="AE12">
        <v>20.588235294117649</v>
      </c>
    </row>
    <row r="13" spans="1:33" x14ac:dyDescent="0.2">
      <c r="B13">
        <v>11</v>
      </c>
      <c r="C13">
        <v>52.38095238095238</v>
      </c>
      <c r="I13">
        <v>11</v>
      </c>
      <c r="J13">
        <v>27.272727272727273</v>
      </c>
      <c r="P13">
        <v>11</v>
      </c>
      <c r="Q13">
        <v>36.842105263157897</v>
      </c>
      <c r="W13">
        <v>11</v>
      </c>
      <c r="X13">
        <v>41.53846153846154</v>
      </c>
      <c r="AD13">
        <v>11</v>
      </c>
      <c r="AE13">
        <v>23.076923076923077</v>
      </c>
    </row>
    <row r="14" spans="1:33" x14ac:dyDescent="0.2">
      <c r="B14">
        <v>12</v>
      </c>
      <c r="C14">
        <v>33.333333333333336</v>
      </c>
      <c r="I14">
        <v>12</v>
      </c>
      <c r="J14">
        <v>53.846153846153847</v>
      </c>
      <c r="P14">
        <v>12</v>
      </c>
      <c r="Q14">
        <v>47.61904761904762</v>
      </c>
      <c r="W14">
        <v>12</v>
      </c>
      <c r="X14">
        <v>53.571428571428569</v>
      </c>
      <c r="AD14">
        <v>12</v>
      </c>
      <c r="AE14">
        <v>6.3829787234042552</v>
      </c>
    </row>
    <row r="16" spans="1:33" x14ac:dyDescent="0.2">
      <c r="A16" t="s">
        <v>3</v>
      </c>
      <c r="B16" t="s">
        <v>1</v>
      </c>
      <c r="C16" t="s">
        <v>2</v>
      </c>
      <c r="D16" t="s">
        <v>4</v>
      </c>
      <c r="E16" t="s">
        <v>95</v>
      </c>
      <c r="H16" t="s">
        <v>3</v>
      </c>
      <c r="I16" t="s">
        <v>1</v>
      </c>
      <c r="J16" t="s">
        <v>2</v>
      </c>
      <c r="K16" t="s">
        <v>4</v>
      </c>
      <c r="L16" t="s">
        <v>95</v>
      </c>
      <c r="O16" t="s">
        <v>3</v>
      </c>
      <c r="P16" t="s">
        <v>1</v>
      </c>
      <c r="Q16" t="s">
        <v>2</v>
      </c>
      <c r="R16" t="s">
        <v>4</v>
      </c>
      <c r="S16" t="s">
        <v>95</v>
      </c>
      <c r="V16" t="s">
        <v>3</v>
      </c>
      <c r="W16" t="s">
        <v>1</v>
      </c>
      <c r="X16" t="s">
        <v>2</v>
      </c>
      <c r="Y16" t="s">
        <v>4</v>
      </c>
      <c r="Z16" t="s">
        <v>95</v>
      </c>
      <c r="AC16" t="s">
        <v>3</v>
      </c>
      <c r="AD16" t="s">
        <v>1</v>
      </c>
      <c r="AE16" t="s">
        <v>2</v>
      </c>
      <c r="AF16" t="s">
        <v>4</v>
      </c>
      <c r="AG16" t="s">
        <v>95</v>
      </c>
    </row>
    <row r="17" spans="1:33" ht="16" x14ac:dyDescent="0.25">
      <c r="A17" t="s">
        <v>33</v>
      </c>
      <c r="B17">
        <v>1</v>
      </c>
      <c r="C17">
        <v>33.333333333333336</v>
      </c>
      <c r="D17">
        <f>AVERAGE(C17:C28)</f>
        <v>23.652380213554654</v>
      </c>
      <c r="E17" s="4">
        <f>STDEV(C17:C28) /SQRT(COUNT(C17:C28))</f>
        <v>4.7443212496186495</v>
      </c>
      <c r="H17" t="s">
        <v>33</v>
      </c>
      <c r="I17">
        <v>1</v>
      </c>
      <c r="J17">
        <v>31.818181818181817</v>
      </c>
      <c r="K17">
        <f>AVERAGE(J17:J28)</f>
        <v>46.616146848391708</v>
      </c>
      <c r="L17" s="4">
        <f>STDEV(J17:J28) /SQRT(COUNT(J17:J28))</f>
        <v>6.6482130088129212</v>
      </c>
      <c r="O17" t="s">
        <v>33</v>
      </c>
      <c r="P17">
        <v>1</v>
      </c>
      <c r="Q17">
        <v>8</v>
      </c>
      <c r="R17">
        <f>AVERAGE(Q17:Q28)</f>
        <v>37.434139298277557</v>
      </c>
      <c r="S17" s="4">
        <f>STDEV(Q17:Q28) /SQRT(COUNT(Q17:Q28))</f>
        <v>7.1258882626124134</v>
      </c>
      <c r="V17" t="s">
        <v>33</v>
      </c>
      <c r="W17">
        <v>1</v>
      </c>
      <c r="X17">
        <v>70.454545454545453</v>
      </c>
      <c r="Y17">
        <f>AVERAGE(X17:X28)</f>
        <v>57.515269245145412</v>
      </c>
      <c r="Z17" s="4">
        <f>STDEV(X17:X28) /SQRT(COUNT(X17:X28))</f>
        <v>3.7569990570204563</v>
      </c>
      <c r="AC17" t="s">
        <v>48</v>
      </c>
      <c r="AD17">
        <v>1</v>
      </c>
      <c r="AE17">
        <v>38.888888888888886</v>
      </c>
      <c r="AF17">
        <f>AVERAGE(AE17:AE28)</f>
        <v>15.580741418335746</v>
      </c>
      <c r="AG17" s="4">
        <f>STDEV(AE17:AE28) /SQRT(COUNT(AE17:AE28))</f>
        <v>3.1626999398968256</v>
      </c>
    </row>
    <row r="18" spans="1:33" ht="16" x14ac:dyDescent="0.25">
      <c r="B18">
        <v>2</v>
      </c>
      <c r="C18">
        <v>19.23076923076923</v>
      </c>
      <c r="I18">
        <v>2</v>
      </c>
      <c r="J18">
        <v>22.222222222222221</v>
      </c>
      <c r="L18" s="4"/>
      <c r="P18">
        <v>2</v>
      </c>
      <c r="Q18">
        <v>20.23121387283237</v>
      </c>
      <c r="W18">
        <v>2</v>
      </c>
      <c r="X18">
        <v>67.5</v>
      </c>
      <c r="AD18">
        <v>2</v>
      </c>
      <c r="AE18">
        <v>10.843373493975903</v>
      </c>
    </row>
    <row r="19" spans="1:33" x14ac:dyDescent="0.2">
      <c r="B19">
        <v>3</v>
      </c>
      <c r="C19">
        <v>20</v>
      </c>
      <c r="I19">
        <v>3</v>
      </c>
      <c r="J19">
        <v>75</v>
      </c>
      <c r="P19">
        <v>3</v>
      </c>
      <c r="Q19">
        <v>4.4776119402985071</v>
      </c>
      <c r="W19">
        <v>3</v>
      </c>
      <c r="X19">
        <v>60.588235294117652</v>
      </c>
      <c r="AD19">
        <v>3</v>
      </c>
      <c r="AE19">
        <v>11.864406779661017</v>
      </c>
    </row>
    <row r="20" spans="1:33" x14ac:dyDescent="0.2">
      <c r="B20">
        <v>4</v>
      </c>
      <c r="C20">
        <v>18.918918918918919</v>
      </c>
      <c r="I20">
        <v>4</v>
      </c>
      <c r="J20">
        <v>61.904761904761905</v>
      </c>
      <c r="P20">
        <v>4</v>
      </c>
      <c r="Q20">
        <v>15.789473684210526</v>
      </c>
      <c r="W20">
        <v>4</v>
      </c>
      <c r="X20">
        <v>38.095238095238095</v>
      </c>
      <c r="AD20">
        <v>4</v>
      </c>
      <c r="AE20">
        <v>14.285714285714286</v>
      </c>
    </row>
    <row r="21" spans="1:33" x14ac:dyDescent="0.2">
      <c r="B21">
        <v>5</v>
      </c>
      <c r="C21">
        <v>25</v>
      </c>
      <c r="I21">
        <v>5</v>
      </c>
      <c r="J21">
        <v>61.403508771929822</v>
      </c>
      <c r="P21">
        <v>5</v>
      </c>
      <c r="Q21">
        <v>37.142857142857146</v>
      </c>
      <c r="W21">
        <v>5</v>
      </c>
      <c r="X21">
        <v>55.502392344497608</v>
      </c>
      <c r="AD21">
        <v>5</v>
      </c>
      <c r="AE21">
        <v>20</v>
      </c>
    </row>
    <row r="22" spans="1:33" x14ac:dyDescent="0.2">
      <c r="B22">
        <v>6</v>
      </c>
      <c r="C22">
        <v>31.25</v>
      </c>
      <c r="I22">
        <v>6</v>
      </c>
      <c r="J22">
        <v>72.727272727272734</v>
      </c>
      <c r="P22">
        <v>6</v>
      </c>
      <c r="Q22">
        <v>11.538461538461538</v>
      </c>
      <c r="W22">
        <v>6</v>
      </c>
      <c r="X22">
        <v>60.714285714285715</v>
      </c>
      <c r="AD22">
        <v>6</v>
      </c>
      <c r="AE22">
        <v>35.2112676056338</v>
      </c>
    </row>
    <row r="23" spans="1:33" x14ac:dyDescent="0.2">
      <c r="B23">
        <v>7</v>
      </c>
      <c r="C23">
        <v>0</v>
      </c>
      <c r="I23">
        <v>7</v>
      </c>
      <c r="J23">
        <v>11.764705882352942</v>
      </c>
      <c r="P23">
        <v>7</v>
      </c>
      <c r="Q23">
        <v>50</v>
      </c>
      <c r="W23">
        <v>7</v>
      </c>
      <c r="X23">
        <v>81.818181818181813</v>
      </c>
      <c r="AD23">
        <v>7</v>
      </c>
      <c r="AE23">
        <v>4</v>
      </c>
    </row>
    <row r="24" spans="1:33" x14ac:dyDescent="0.2">
      <c r="B24">
        <v>8</v>
      </c>
      <c r="C24">
        <v>64.285714285714292</v>
      </c>
      <c r="I24">
        <v>8</v>
      </c>
      <c r="J24">
        <v>61.53846153846154</v>
      </c>
      <c r="P24">
        <v>8</v>
      </c>
      <c r="Q24">
        <v>53.846153846153847</v>
      </c>
      <c r="W24">
        <v>8</v>
      </c>
      <c r="X24">
        <v>64.42307692307692</v>
      </c>
      <c r="AD24">
        <v>8</v>
      </c>
      <c r="AE24">
        <v>7.4380165289256199</v>
      </c>
    </row>
    <row r="25" spans="1:33" x14ac:dyDescent="0.2">
      <c r="B25">
        <v>9</v>
      </c>
      <c r="C25">
        <v>13.043478260869565</v>
      </c>
      <c r="I25">
        <v>9</v>
      </c>
      <c r="J25">
        <v>60.824742268041234</v>
      </c>
      <c r="P25">
        <v>9</v>
      </c>
      <c r="Q25">
        <v>76.470588235294116</v>
      </c>
      <c r="W25">
        <v>9</v>
      </c>
      <c r="X25">
        <v>51.754385964912288</v>
      </c>
      <c r="AD25">
        <v>9</v>
      </c>
      <c r="AE25">
        <v>8.3333333333333339</v>
      </c>
    </row>
    <row r="26" spans="1:33" x14ac:dyDescent="0.2">
      <c r="B26">
        <v>10</v>
      </c>
      <c r="C26">
        <v>16.666666666666668</v>
      </c>
      <c r="I26">
        <v>10</v>
      </c>
      <c r="J26">
        <v>8.695652173913043</v>
      </c>
      <c r="P26">
        <v>10</v>
      </c>
      <c r="Q26">
        <v>66.15384615384616</v>
      </c>
      <c r="W26">
        <v>10</v>
      </c>
      <c r="X26">
        <v>39.393939393939391</v>
      </c>
      <c r="AD26">
        <v>10</v>
      </c>
      <c r="AE26">
        <v>14.285714285714286</v>
      </c>
    </row>
    <row r="27" spans="1:33" x14ac:dyDescent="0.2">
      <c r="B27">
        <v>11</v>
      </c>
      <c r="C27">
        <v>7.3170731707317076</v>
      </c>
      <c r="I27">
        <v>11</v>
      </c>
      <c r="J27">
        <v>46.666666666666664</v>
      </c>
      <c r="P27">
        <v>11</v>
      </c>
      <c r="Q27">
        <v>58.620689655172413</v>
      </c>
      <c r="W27">
        <v>11</v>
      </c>
      <c r="X27">
        <v>43.589743589743591</v>
      </c>
      <c r="AD27">
        <v>11</v>
      </c>
      <c r="AE27">
        <v>6.666666666666667</v>
      </c>
    </row>
    <row r="28" spans="1:33" x14ac:dyDescent="0.2">
      <c r="B28">
        <v>12</v>
      </c>
      <c r="C28">
        <v>34.782608695652172</v>
      </c>
      <c r="I28">
        <v>12</v>
      </c>
      <c r="J28">
        <v>44.827586206896555</v>
      </c>
      <c r="P28">
        <v>12</v>
      </c>
      <c r="Q28">
        <v>46.938775510204081</v>
      </c>
      <c r="W28">
        <v>12</v>
      </c>
      <c r="X28">
        <v>56.349206349206355</v>
      </c>
      <c r="AD28">
        <v>12</v>
      </c>
      <c r="AE28">
        <v>15.151515151515152</v>
      </c>
    </row>
    <row r="30" spans="1:33" x14ac:dyDescent="0.2">
      <c r="A30" t="s">
        <v>5</v>
      </c>
      <c r="B30" t="s">
        <v>1</v>
      </c>
      <c r="C30" t="s">
        <v>2</v>
      </c>
      <c r="D30" t="s">
        <v>4</v>
      </c>
      <c r="E30" t="s">
        <v>95</v>
      </c>
      <c r="H30" t="s">
        <v>5</v>
      </c>
      <c r="I30" t="s">
        <v>1</v>
      </c>
      <c r="J30" t="s">
        <v>2</v>
      </c>
      <c r="K30" t="s">
        <v>4</v>
      </c>
      <c r="L30" t="s">
        <v>95</v>
      </c>
      <c r="O30" t="s">
        <v>5</v>
      </c>
      <c r="P30" t="s">
        <v>1</v>
      </c>
      <c r="Q30" t="s">
        <v>2</v>
      </c>
      <c r="R30" t="s">
        <v>4</v>
      </c>
      <c r="S30" t="s">
        <v>95</v>
      </c>
      <c r="V30" t="s">
        <v>5</v>
      </c>
      <c r="W30" t="s">
        <v>1</v>
      </c>
      <c r="X30" t="s">
        <v>2</v>
      </c>
      <c r="Y30" t="s">
        <v>4</v>
      </c>
      <c r="Z30" t="s">
        <v>95</v>
      </c>
      <c r="AC30" t="s">
        <v>5</v>
      </c>
      <c r="AD30" t="s">
        <v>1</v>
      </c>
      <c r="AE30" t="s">
        <v>2</v>
      </c>
      <c r="AF30" t="s">
        <v>4</v>
      </c>
      <c r="AG30" t="s">
        <v>95</v>
      </c>
    </row>
    <row r="31" spans="1:33" ht="16" x14ac:dyDescent="0.25">
      <c r="A31" t="s">
        <v>34</v>
      </c>
      <c r="B31">
        <v>1</v>
      </c>
      <c r="C31">
        <v>-1.9607843137254901</v>
      </c>
      <c r="D31">
        <f>AVERAGE(C31:C42)</f>
        <v>21.083118360242192</v>
      </c>
      <c r="E31" s="4">
        <f>STDEV(C31:C42) /SQRT(COUNT(C31:C42))</f>
        <v>6.7014286573473756</v>
      </c>
      <c r="H31" t="s">
        <v>34</v>
      </c>
      <c r="I31">
        <v>1</v>
      </c>
      <c r="J31">
        <v>59.183673469387756</v>
      </c>
      <c r="K31">
        <f>AVERAGE(J31:J42)</f>
        <v>29.168722472182335</v>
      </c>
      <c r="L31" s="4">
        <f>STDEV(J31:J42) /SQRT(COUNT(J31:J42))</f>
        <v>5.2747473071971811</v>
      </c>
      <c r="O31" t="s">
        <v>34</v>
      </c>
      <c r="P31">
        <v>1</v>
      </c>
      <c r="Q31">
        <v>22.14765100671141</v>
      </c>
      <c r="R31">
        <f>AVERAGE(Q31:Q42)</f>
        <v>41.939949798010126</v>
      </c>
      <c r="S31" s="4">
        <f>STDEV(Q31:Q42) /SQRT(COUNT(Q31:Q42))</f>
        <v>6.0131369326537598</v>
      </c>
      <c r="V31" t="s">
        <v>34</v>
      </c>
      <c r="W31">
        <v>1</v>
      </c>
      <c r="X31">
        <v>38.345864661654133</v>
      </c>
      <c r="Y31">
        <f>AVERAGE(X31:X42)</f>
        <v>6.3680643759978137</v>
      </c>
      <c r="Z31" s="4">
        <f>STDEV(X31:X42) /SQRT(COUNT(X31:X42))</f>
        <v>4.991704732530799</v>
      </c>
      <c r="AC31" t="s">
        <v>49</v>
      </c>
      <c r="AD31">
        <v>1</v>
      </c>
      <c r="AE31">
        <v>16.853932584269664</v>
      </c>
      <c r="AF31">
        <f>AVERAGE(AE31:AE42)</f>
        <v>14.46099730493445</v>
      </c>
      <c r="AG31" s="4">
        <f>STDEV(AE31:AE42) /SQRT(COUNT(AE31:AE42))</f>
        <v>5.7612509371506224</v>
      </c>
    </row>
    <row r="32" spans="1:33" x14ac:dyDescent="0.2">
      <c r="B32">
        <v>2</v>
      </c>
      <c r="C32">
        <v>-6.3829787234042552</v>
      </c>
      <c r="I32">
        <v>2</v>
      </c>
      <c r="J32">
        <v>47.368421052631582</v>
      </c>
      <c r="P32">
        <v>2</v>
      </c>
      <c r="Q32">
        <v>32.67326732673267</v>
      </c>
      <c r="W32">
        <v>2</v>
      </c>
      <c r="X32">
        <v>9.821428571428573</v>
      </c>
      <c r="AD32">
        <v>2</v>
      </c>
      <c r="AE32">
        <v>30.434782608695652</v>
      </c>
    </row>
    <row r="33" spans="1:31" x14ac:dyDescent="0.2">
      <c r="B33">
        <v>3</v>
      </c>
      <c r="C33">
        <v>9.0909090909090917</v>
      </c>
      <c r="I33">
        <v>3</v>
      </c>
      <c r="J33">
        <v>27.272727272727273</v>
      </c>
      <c r="P33">
        <v>3</v>
      </c>
      <c r="Q33">
        <v>30.481283422459892</v>
      </c>
      <c r="W33">
        <v>3</v>
      </c>
      <c r="X33">
        <v>21.323529411764707</v>
      </c>
      <c r="AD33">
        <v>3</v>
      </c>
      <c r="AE33">
        <v>31.707317073170731</v>
      </c>
    </row>
    <row r="34" spans="1:31" x14ac:dyDescent="0.2">
      <c r="B34">
        <v>4</v>
      </c>
      <c r="C34">
        <v>55.932203389830505</v>
      </c>
      <c r="I34">
        <v>4</v>
      </c>
      <c r="J34">
        <v>26.582278481012658</v>
      </c>
      <c r="P34">
        <v>4</v>
      </c>
      <c r="Q34">
        <v>39.393939393939391</v>
      </c>
      <c r="W34">
        <v>4</v>
      </c>
      <c r="X34">
        <v>2.3809523809523809</v>
      </c>
      <c r="AD34">
        <v>4</v>
      </c>
      <c r="AE34">
        <v>2.912621359223301</v>
      </c>
    </row>
    <row r="35" spans="1:31" x14ac:dyDescent="0.2">
      <c r="B35">
        <v>5</v>
      </c>
      <c r="C35">
        <v>53.846153846153847</v>
      </c>
      <c r="I35">
        <v>5</v>
      </c>
      <c r="J35">
        <v>4.7619047619047619</v>
      </c>
      <c r="P35">
        <v>5</v>
      </c>
      <c r="Q35">
        <v>23.076923076923077</v>
      </c>
      <c r="W35">
        <v>5</v>
      </c>
      <c r="X35">
        <v>-5.882352941176471</v>
      </c>
      <c r="AD35">
        <v>5</v>
      </c>
      <c r="AE35">
        <v>12.380952380952381</v>
      </c>
    </row>
    <row r="36" spans="1:31" x14ac:dyDescent="0.2">
      <c r="B36">
        <v>6</v>
      </c>
      <c r="C36">
        <v>25.925925925925927</v>
      </c>
      <c r="I36">
        <v>6</v>
      </c>
      <c r="J36">
        <v>21.621621621621621</v>
      </c>
      <c r="P36">
        <v>6</v>
      </c>
      <c r="Q36">
        <v>16.564417177914109</v>
      </c>
      <c r="W36">
        <v>6</v>
      </c>
      <c r="X36">
        <v>29.487179487179489</v>
      </c>
      <c r="AD36">
        <v>6</v>
      </c>
      <c r="AE36">
        <v>2.2727272727272729</v>
      </c>
    </row>
    <row r="37" spans="1:31" x14ac:dyDescent="0.2">
      <c r="B37">
        <v>7</v>
      </c>
      <c r="C37">
        <v>2.6315789473684212</v>
      </c>
      <c r="I37">
        <v>7</v>
      </c>
      <c r="J37">
        <v>14.285714285714286</v>
      </c>
      <c r="P37">
        <v>7</v>
      </c>
      <c r="Q37">
        <v>33.333333333333336</v>
      </c>
      <c r="W37">
        <v>7</v>
      </c>
      <c r="X37">
        <v>10.256410256410255</v>
      </c>
      <c r="AD37">
        <v>7</v>
      </c>
      <c r="AE37">
        <v>13.20754716981132</v>
      </c>
    </row>
    <row r="38" spans="1:31" x14ac:dyDescent="0.2">
      <c r="B38">
        <v>8</v>
      </c>
      <c r="C38">
        <v>37.142857142857146</v>
      </c>
      <c r="I38">
        <v>8</v>
      </c>
      <c r="J38">
        <v>56.097560975609753</v>
      </c>
      <c r="P38">
        <v>8</v>
      </c>
      <c r="Q38">
        <v>69.230769230769226</v>
      </c>
      <c r="W38">
        <v>8</v>
      </c>
      <c r="X38">
        <v>-25.555555555555557</v>
      </c>
      <c r="AD38">
        <v>8</v>
      </c>
      <c r="AE38">
        <v>62.068965517241381</v>
      </c>
    </row>
    <row r="39" spans="1:31" x14ac:dyDescent="0.2">
      <c r="B39">
        <v>9</v>
      </c>
      <c r="C39">
        <v>-11.330049261083744</v>
      </c>
      <c r="I39">
        <v>9</v>
      </c>
      <c r="J39">
        <v>27.272727272727273</v>
      </c>
      <c r="P39">
        <v>9</v>
      </c>
      <c r="Q39">
        <v>46.666666666666664</v>
      </c>
      <c r="W39">
        <v>9</v>
      </c>
      <c r="X39">
        <v>3.0303030303030312</v>
      </c>
      <c r="AD39">
        <v>9</v>
      </c>
      <c r="AE39">
        <v>14.285714285714286</v>
      </c>
    </row>
    <row r="40" spans="1:31" x14ac:dyDescent="0.2">
      <c r="B40">
        <v>10</v>
      </c>
      <c r="C40">
        <v>43.18181818181818</v>
      </c>
      <c r="I40">
        <v>10</v>
      </c>
      <c r="J40">
        <v>13.043478260869565</v>
      </c>
      <c r="P40">
        <v>10</v>
      </c>
      <c r="Q40">
        <v>67.567567567567565</v>
      </c>
      <c r="W40">
        <v>10</v>
      </c>
      <c r="X40">
        <v>-1.3636363636363633</v>
      </c>
      <c r="AD40">
        <v>10</v>
      </c>
      <c r="AE40">
        <v>-6.666666666666667</v>
      </c>
    </row>
    <row r="41" spans="1:31" x14ac:dyDescent="0.2">
      <c r="B41">
        <v>11</v>
      </c>
      <c r="C41">
        <v>17.647058823529413</v>
      </c>
      <c r="I41">
        <v>11</v>
      </c>
      <c r="J41">
        <v>9.67741935483871</v>
      </c>
      <c r="P41">
        <v>11</v>
      </c>
      <c r="Q41">
        <v>82.608695652173907</v>
      </c>
      <c r="W41">
        <v>11</v>
      </c>
      <c r="X41">
        <v>2.7777777777777786</v>
      </c>
      <c r="AD41">
        <v>11</v>
      </c>
      <c r="AE41">
        <v>7.4074074074074074</v>
      </c>
    </row>
    <row r="42" spans="1:31" x14ac:dyDescent="0.2">
      <c r="B42">
        <v>12</v>
      </c>
      <c r="C42">
        <v>27.272727272727273</v>
      </c>
      <c r="I42">
        <v>12</v>
      </c>
      <c r="J42">
        <v>42.857142857142854</v>
      </c>
      <c r="P42">
        <v>12</v>
      </c>
      <c r="Q42">
        <v>39.534883720930232</v>
      </c>
      <c r="W42">
        <v>12</v>
      </c>
      <c r="X42">
        <v>-8.2051282051282044</v>
      </c>
      <c r="AD42">
        <v>12</v>
      </c>
      <c r="AE42">
        <v>-13.333333333333334</v>
      </c>
    </row>
    <row r="44" spans="1:31" x14ac:dyDescent="0.2">
      <c r="A44" s="2" t="s">
        <v>6</v>
      </c>
      <c r="H44" s="2" t="s">
        <v>6</v>
      </c>
      <c r="O44" s="2" t="s">
        <v>6</v>
      </c>
      <c r="V44" s="2" t="s">
        <v>6</v>
      </c>
      <c r="AC44" s="2" t="s">
        <v>6</v>
      </c>
    </row>
    <row r="45" spans="1:31" x14ac:dyDescent="0.2">
      <c r="A45" s="2" t="s">
        <v>7</v>
      </c>
      <c r="H45" s="2" t="s">
        <v>7</v>
      </c>
      <c r="O45" s="2" t="s">
        <v>7</v>
      </c>
      <c r="V45" s="2" t="s">
        <v>96</v>
      </c>
      <c r="AC45" s="2" t="s">
        <v>7</v>
      </c>
    </row>
    <row r="46" spans="1:31" x14ac:dyDescent="0.2">
      <c r="A46" s="2" t="s">
        <v>99</v>
      </c>
      <c r="H46" s="2" t="s">
        <v>102</v>
      </c>
      <c r="O46" s="2" t="s">
        <v>105</v>
      </c>
      <c r="V46" s="2" t="s">
        <v>40</v>
      </c>
      <c r="AC46" s="2" t="s">
        <v>108</v>
      </c>
    </row>
    <row r="47" spans="1:31" x14ac:dyDescent="0.2">
      <c r="A47" s="2" t="s">
        <v>100</v>
      </c>
      <c r="H47" s="2" t="s">
        <v>103</v>
      </c>
      <c r="O47" s="2" t="s">
        <v>106</v>
      </c>
      <c r="V47" s="2" t="s">
        <v>41</v>
      </c>
      <c r="AC47" s="2" t="s">
        <v>109</v>
      </c>
    </row>
    <row r="48" spans="1:31" x14ac:dyDescent="0.2">
      <c r="A48" s="2" t="s">
        <v>101</v>
      </c>
      <c r="H48" s="2" t="s">
        <v>104</v>
      </c>
      <c r="O48" s="2" t="s">
        <v>107</v>
      </c>
      <c r="V48" s="2" t="s">
        <v>42</v>
      </c>
      <c r="AC48" s="2" t="s">
        <v>110</v>
      </c>
    </row>
    <row r="49" spans="1:29" x14ac:dyDescent="0.2">
      <c r="A49" s="3" t="s">
        <v>13</v>
      </c>
      <c r="H49" s="3" t="s">
        <v>13</v>
      </c>
      <c r="O49" s="3" t="s">
        <v>13</v>
      </c>
      <c r="V49" s="2" t="s">
        <v>37</v>
      </c>
      <c r="AC49" s="3" t="s">
        <v>13</v>
      </c>
    </row>
    <row r="50" spans="1:29" x14ac:dyDescent="0.2">
      <c r="V50" s="2" t="s">
        <v>38</v>
      </c>
    </row>
    <row r="51" spans="1:29" x14ac:dyDescent="0.2">
      <c r="V51" s="3" t="s">
        <v>13</v>
      </c>
    </row>
    <row r="53" spans="1:29" s="1" customFormat="1" x14ac:dyDescent="0.2">
      <c r="V53"/>
      <c r="W53"/>
      <c r="X53"/>
      <c r="Y53"/>
      <c r="Z53"/>
      <c r="AA53"/>
    </row>
    <row r="54" spans="1:29" x14ac:dyDescent="0.2">
      <c r="A54" t="s">
        <v>14</v>
      </c>
      <c r="C54" t="s">
        <v>391</v>
      </c>
      <c r="H54" t="s">
        <v>15</v>
      </c>
      <c r="J54" t="s">
        <v>391</v>
      </c>
      <c r="O54" t="s">
        <v>16</v>
      </c>
      <c r="Q54" t="s">
        <v>391</v>
      </c>
      <c r="V54" t="s">
        <v>17</v>
      </c>
      <c r="X54" t="s">
        <v>391</v>
      </c>
    </row>
    <row r="55" spans="1:29" x14ac:dyDescent="0.2">
      <c r="A55" t="s">
        <v>61</v>
      </c>
      <c r="B55" t="s">
        <v>1</v>
      </c>
      <c r="C55" t="s">
        <v>2</v>
      </c>
      <c r="D55" t="s">
        <v>4</v>
      </c>
      <c r="E55" t="s">
        <v>95</v>
      </c>
      <c r="H55" t="s">
        <v>61</v>
      </c>
      <c r="I55" t="s">
        <v>1</v>
      </c>
      <c r="J55" t="s">
        <v>2</v>
      </c>
      <c r="K55" t="s">
        <v>4</v>
      </c>
      <c r="L55" t="s">
        <v>95</v>
      </c>
      <c r="O55" t="s">
        <v>117</v>
      </c>
      <c r="V55" t="s">
        <v>61</v>
      </c>
      <c r="W55" t="s">
        <v>1</v>
      </c>
      <c r="X55" t="s">
        <v>2</v>
      </c>
      <c r="Y55" t="s">
        <v>4</v>
      </c>
      <c r="Z55" t="s">
        <v>95</v>
      </c>
    </row>
    <row r="56" spans="1:29" ht="16" x14ac:dyDescent="0.25">
      <c r="A56" t="s">
        <v>32</v>
      </c>
      <c r="B56">
        <v>1</v>
      </c>
      <c r="C56">
        <v>-5.4545454545454541</v>
      </c>
      <c r="D56">
        <v>36.043849043904856</v>
      </c>
      <c r="E56" s="4">
        <f>STDEV(C56:C67) /SQRT(COUNT(C56:C67))</f>
        <v>8.5633080354495537</v>
      </c>
      <c r="H56" t="s">
        <v>32</v>
      </c>
      <c r="I56">
        <v>1</v>
      </c>
      <c r="J56">
        <v>86.666666666666671</v>
      </c>
      <c r="K56">
        <v>36.851300279692673</v>
      </c>
      <c r="L56" s="4">
        <f>STDEV(J56:J67) /SQRT(COUNT(J56:J67))</f>
        <v>6.6593837304020447</v>
      </c>
      <c r="V56" t="s">
        <v>32</v>
      </c>
      <c r="W56">
        <v>1</v>
      </c>
      <c r="X56">
        <v>28.845401174168298</v>
      </c>
      <c r="Y56">
        <v>30.433222141630328</v>
      </c>
      <c r="Z56" s="4">
        <f>STDEV(X56:X67) /SQRT(COUNT(X56:X67))</f>
        <v>4.7977393285022716</v>
      </c>
    </row>
    <row r="57" spans="1:29" x14ac:dyDescent="0.2">
      <c r="B57">
        <v>2</v>
      </c>
      <c r="C57">
        <v>-7.4074074074074074</v>
      </c>
      <c r="D57">
        <v>28.820593688349323</v>
      </c>
      <c r="E57">
        <v>9.0313142141862759</v>
      </c>
      <c r="I57">
        <v>2</v>
      </c>
      <c r="J57">
        <v>20.454545454545453</v>
      </c>
      <c r="K57">
        <v>40.662001817563457</v>
      </c>
      <c r="L57">
        <v>5.3296187094193588</v>
      </c>
      <c r="O57" t="s">
        <v>118</v>
      </c>
      <c r="W57">
        <v>2</v>
      </c>
      <c r="X57">
        <v>20</v>
      </c>
      <c r="Y57">
        <v>21.531106450576008</v>
      </c>
      <c r="Z57">
        <v>2.6769845962840719</v>
      </c>
    </row>
    <row r="58" spans="1:29" x14ac:dyDescent="0.2">
      <c r="B58">
        <v>3</v>
      </c>
      <c r="C58">
        <v>80</v>
      </c>
      <c r="D58">
        <v>30.990020369226396</v>
      </c>
      <c r="E58">
        <v>7.5572757552937908</v>
      </c>
      <c r="I58">
        <v>3</v>
      </c>
      <c r="J58">
        <v>20</v>
      </c>
      <c r="K58">
        <v>36.976901818796662</v>
      </c>
      <c r="L58">
        <v>5.0591262286826417</v>
      </c>
      <c r="O58" t="s">
        <v>61</v>
      </c>
      <c r="P58" t="s">
        <v>1</v>
      </c>
      <c r="Q58" t="s">
        <v>2</v>
      </c>
      <c r="R58" t="s">
        <v>4</v>
      </c>
      <c r="S58" t="s">
        <v>95</v>
      </c>
      <c r="W58">
        <v>3</v>
      </c>
      <c r="X58">
        <v>4.1666666666666679</v>
      </c>
      <c r="Y58">
        <v>2.1975449415547237</v>
      </c>
      <c r="Z58">
        <v>4.355740561776158</v>
      </c>
    </row>
    <row r="59" spans="1:29" ht="16" x14ac:dyDescent="0.25">
      <c r="B59">
        <v>4</v>
      </c>
      <c r="C59">
        <v>36.585365853658537</v>
      </c>
      <c r="I59">
        <v>4</v>
      </c>
      <c r="J59">
        <v>47.945205479452056</v>
      </c>
      <c r="O59" t="s">
        <v>32</v>
      </c>
      <c r="P59">
        <v>1</v>
      </c>
      <c r="Q59">
        <v>43.125</v>
      </c>
      <c r="R59">
        <v>48.185692536021484</v>
      </c>
      <c r="S59" s="4">
        <f>STDEV(Q59:Q70) /SQRT(COUNT(Q59:Q70))</f>
        <v>3.5029560841839542</v>
      </c>
      <c r="W59">
        <v>4</v>
      </c>
      <c r="X59">
        <v>50</v>
      </c>
    </row>
    <row r="60" spans="1:29" x14ac:dyDescent="0.2">
      <c r="B60">
        <v>5</v>
      </c>
      <c r="C60">
        <v>33.333333333333336</v>
      </c>
      <c r="I60">
        <v>5</v>
      </c>
      <c r="J60">
        <v>13.432835820895523</v>
      </c>
      <c r="P60">
        <v>2</v>
      </c>
      <c r="Q60">
        <v>37.777777777777779</v>
      </c>
      <c r="R60">
        <v>51.458659756030691</v>
      </c>
      <c r="S60">
        <v>4.4940919238709345</v>
      </c>
      <c r="W60">
        <v>5</v>
      </c>
      <c r="X60">
        <v>5.4769001490312963</v>
      </c>
    </row>
    <row r="61" spans="1:29" x14ac:dyDescent="0.2">
      <c r="B61">
        <v>6</v>
      </c>
      <c r="C61">
        <v>34.285714285714285</v>
      </c>
      <c r="I61">
        <v>6</v>
      </c>
      <c r="J61">
        <v>32.173913043478258</v>
      </c>
      <c r="P61">
        <v>3</v>
      </c>
      <c r="Q61">
        <v>65.909090909090907</v>
      </c>
      <c r="R61">
        <v>7.4756688069976649</v>
      </c>
      <c r="S61">
        <v>5.0368010364906377</v>
      </c>
      <c r="W61">
        <v>6</v>
      </c>
      <c r="X61">
        <v>21.037037037037038</v>
      </c>
    </row>
    <row r="62" spans="1:29" x14ac:dyDescent="0.2">
      <c r="B62">
        <v>7</v>
      </c>
      <c r="C62">
        <v>41.304347826086953</v>
      </c>
      <c r="I62">
        <v>7</v>
      </c>
      <c r="J62">
        <v>13.333333333333334</v>
      </c>
      <c r="P62">
        <v>4</v>
      </c>
      <c r="Q62">
        <v>35.416666666666671</v>
      </c>
      <c r="W62">
        <v>7</v>
      </c>
      <c r="X62">
        <v>48.484848484848484</v>
      </c>
    </row>
    <row r="63" spans="1:29" x14ac:dyDescent="0.2">
      <c r="B63">
        <v>8</v>
      </c>
      <c r="C63">
        <v>38.46153846153846</v>
      </c>
      <c r="I63">
        <v>8</v>
      </c>
      <c r="J63">
        <v>15.555555555555555</v>
      </c>
      <c r="P63">
        <v>5</v>
      </c>
      <c r="Q63">
        <v>43.75</v>
      </c>
      <c r="W63">
        <v>8</v>
      </c>
      <c r="X63">
        <v>44.285714285714285</v>
      </c>
    </row>
    <row r="64" spans="1:29" x14ac:dyDescent="0.2">
      <c r="B64">
        <v>9</v>
      </c>
      <c r="C64">
        <v>68.421052631578945</v>
      </c>
      <c r="I64">
        <v>9</v>
      </c>
      <c r="J64">
        <v>44.186046511627907</v>
      </c>
      <c r="P64">
        <v>6</v>
      </c>
      <c r="Q64">
        <v>62.777777777777779</v>
      </c>
      <c r="W64">
        <v>9</v>
      </c>
      <c r="X64">
        <v>45</v>
      </c>
    </row>
    <row r="65" spans="1:26" x14ac:dyDescent="0.2">
      <c r="B65">
        <v>10</v>
      </c>
      <c r="C65">
        <v>40.909090909090907</v>
      </c>
      <c r="I65">
        <v>10</v>
      </c>
      <c r="J65">
        <v>47.692307692307693</v>
      </c>
      <c r="P65">
        <v>7</v>
      </c>
      <c r="Q65">
        <v>34.586466165413533</v>
      </c>
      <c r="W65">
        <v>10</v>
      </c>
      <c r="X65">
        <v>23.80952380952381</v>
      </c>
    </row>
    <row r="66" spans="1:26" x14ac:dyDescent="0.2">
      <c r="B66">
        <v>11</v>
      </c>
      <c r="C66">
        <v>80.645161290322577</v>
      </c>
      <c r="I66">
        <v>11</v>
      </c>
      <c r="J66">
        <v>33.333333333333336</v>
      </c>
      <c r="P66">
        <v>8</v>
      </c>
      <c r="Q66">
        <v>69.230769230769226</v>
      </c>
      <c r="W66">
        <v>11</v>
      </c>
      <c r="X66">
        <v>25.174825174825173</v>
      </c>
    </row>
    <row r="67" spans="1:26" x14ac:dyDescent="0.2">
      <c r="B67">
        <v>12</v>
      </c>
      <c r="C67">
        <v>76.470588235294116</v>
      </c>
      <c r="I67">
        <v>12</v>
      </c>
      <c r="J67">
        <v>67.441860465116278</v>
      </c>
      <c r="P67">
        <v>9</v>
      </c>
      <c r="Q67">
        <v>50</v>
      </c>
      <c r="W67">
        <v>12</v>
      </c>
      <c r="X67">
        <v>48.917748917748916</v>
      </c>
    </row>
    <row r="68" spans="1:26" x14ac:dyDescent="0.2">
      <c r="P68">
        <v>10</v>
      </c>
      <c r="Q68">
        <v>36.607142857142861</v>
      </c>
    </row>
    <row r="69" spans="1:26" ht="15" customHeight="1" x14ac:dyDescent="0.2">
      <c r="A69" t="s">
        <v>3</v>
      </c>
      <c r="B69" t="s">
        <v>1</v>
      </c>
      <c r="C69" t="s">
        <v>2</v>
      </c>
      <c r="D69" t="s">
        <v>4</v>
      </c>
      <c r="E69" t="s">
        <v>95</v>
      </c>
      <c r="H69" t="s">
        <v>3</v>
      </c>
      <c r="I69" t="s">
        <v>1</v>
      </c>
      <c r="J69" t="s">
        <v>2</v>
      </c>
      <c r="K69" t="s">
        <v>4</v>
      </c>
      <c r="L69" t="s">
        <v>95</v>
      </c>
      <c r="P69">
        <v>11</v>
      </c>
      <c r="Q69">
        <v>47.61904761904762</v>
      </c>
      <c r="V69" t="s">
        <v>3</v>
      </c>
      <c r="W69" t="s">
        <v>1</v>
      </c>
      <c r="X69" t="s">
        <v>2</v>
      </c>
      <c r="Y69" t="s">
        <v>4</v>
      </c>
      <c r="Z69" t="s">
        <v>95</v>
      </c>
    </row>
    <row r="70" spans="1:26" ht="16" x14ac:dyDescent="0.25">
      <c r="A70" t="s">
        <v>48</v>
      </c>
      <c r="B70">
        <v>1</v>
      </c>
      <c r="C70">
        <v>46.153846153846153</v>
      </c>
      <c r="D70">
        <v>28.820593688349323</v>
      </c>
      <c r="E70" s="4">
        <f>STDEV(C70:C81) /SQRT(COUNT(C70:C81))</f>
        <v>9.0313142141862759</v>
      </c>
      <c r="H70" t="s">
        <v>48</v>
      </c>
      <c r="I70">
        <v>1</v>
      </c>
      <c r="J70">
        <v>37.5</v>
      </c>
      <c r="K70">
        <v>40.662001817563457</v>
      </c>
      <c r="L70" s="4">
        <f>STDEV(J70:J81) /SQRT(COUNT(J70:J81))</f>
        <v>5.3296187094193588</v>
      </c>
      <c r="P70">
        <v>12</v>
      </c>
      <c r="Q70">
        <v>51.428571428571431</v>
      </c>
      <c r="V70" t="s">
        <v>48</v>
      </c>
      <c r="W70">
        <v>1</v>
      </c>
      <c r="X70">
        <v>15.384615384615385</v>
      </c>
      <c r="Y70">
        <v>21.531106450576008</v>
      </c>
      <c r="Z70" s="4">
        <f>STDEV(X70:X81) /SQRT(COUNT(X70:X81))</f>
        <v>2.6769845962840719</v>
      </c>
    </row>
    <row r="71" spans="1:26" x14ac:dyDescent="0.2">
      <c r="B71">
        <v>2</v>
      </c>
      <c r="C71">
        <v>1.8867924528301887</v>
      </c>
      <c r="D71">
        <v>30.990020369226396</v>
      </c>
      <c r="E71">
        <v>7.5572757552937908</v>
      </c>
      <c r="I71">
        <v>2</v>
      </c>
      <c r="J71">
        <v>52.631578947368418</v>
      </c>
      <c r="K71">
        <v>36.976901818796662</v>
      </c>
      <c r="L71">
        <v>5.0591262286826417</v>
      </c>
      <c r="W71">
        <v>2</v>
      </c>
      <c r="X71">
        <v>14.379084967320262</v>
      </c>
      <c r="Y71">
        <v>2.1975449415547237</v>
      </c>
      <c r="Z71">
        <v>4.355740561776158</v>
      </c>
    </row>
    <row r="72" spans="1:26" x14ac:dyDescent="0.2">
      <c r="B72">
        <v>3</v>
      </c>
      <c r="C72">
        <v>52.173913043478258</v>
      </c>
      <c r="I72">
        <v>3</v>
      </c>
      <c r="J72">
        <v>63.636363636363633</v>
      </c>
      <c r="O72" t="s">
        <v>3</v>
      </c>
      <c r="P72" t="s">
        <v>1</v>
      </c>
      <c r="Q72" t="s">
        <v>2</v>
      </c>
      <c r="R72" t="s">
        <v>4</v>
      </c>
      <c r="S72" t="s">
        <v>95</v>
      </c>
      <c r="W72">
        <v>3</v>
      </c>
      <c r="X72">
        <v>20.833333333333336</v>
      </c>
    </row>
    <row r="73" spans="1:26" ht="16" x14ac:dyDescent="0.25">
      <c r="B73">
        <v>4</v>
      </c>
      <c r="C73">
        <v>9.433962264150944</v>
      </c>
      <c r="I73">
        <v>4</v>
      </c>
      <c r="J73">
        <v>22.580645161290324</v>
      </c>
      <c r="O73" t="s">
        <v>48</v>
      </c>
      <c r="P73">
        <v>1</v>
      </c>
      <c r="Q73">
        <v>50.256410256410255</v>
      </c>
      <c r="R73">
        <v>51.458659756030691</v>
      </c>
      <c r="S73" s="4">
        <f>STDEV(Q73:Q84) /SQRT(COUNT(Q73:Q84))</f>
        <v>4.4940919238709345</v>
      </c>
      <c r="W73">
        <v>4</v>
      </c>
      <c r="X73">
        <v>44.521739130434781</v>
      </c>
    </row>
    <row r="74" spans="1:26" x14ac:dyDescent="0.2">
      <c r="B74">
        <v>5</v>
      </c>
      <c r="C74">
        <v>9.8039215686274517</v>
      </c>
      <c r="I74">
        <v>5</v>
      </c>
      <c r="J74">
        <v>12</v>
      </c>
      <c r="P74">
        <v>2</v>
      </c>
      <c r="Q74">
        <v>32.38636363636364</v>
      </c>
      <c r="R74">
        <v>7.4756688069976649</v>
      </c>
      <c r="S74">
        <v>5.0368010364906377</v>
      </c>
      <c r="W74">
        <v>5</v>
      </c>
      <c r="X74">
        <v>25.108225108225106</v>
      </c>
    </row>
    <row r="75" spans="1:26" x14ac:dyDescent="0.2">
      <c r="B75">
        <v>6</v>
      </c>
      <c r="C75">
        <v>32.142857142857146</v>
      </c>
      <c r="I75">
        <v>6</v>
      </c>
      <c r="J75">
        <v>46.938775510204081</v>
      </c>
      <c r="P75">
        <v>3</v>
      </c>
      <c r="Q75">
        <v>47.469220246238031</v>
      </c>
      <c r="W75">
        <v>6</v>
      </c>
      <c r="X75">
        <v>11.586452762923351</v>
      </c>
    </row>
    <row r="76" spans="1:26" x14ac:dyDescent="0.2">
      <c r="B76">
        <v>7</v>
      </c>
      <c r="C76">
        <v>-35.294117647058826</v>
      </c>
      <c r="I76">
        <v>7</v>
      </c>
      <c r="J76">
        <v>27.272727272727273</v>
      </c>
      <c r="P76">
        <v>4</v>
      </c>
      <c r="Q76">
        <v>41.046099290780141</v>
      </c>
      <c r="W76">
        <v>7</v>
      </c>
      <c r="X76">
        <v>20.035460992907801</v>
      </c>
    </row>
    <row r="77" spans="1:26" x14ac:dyDescent="0.2">
      <c r="B77">
        <v>8</v>
      </c>
      <c r="C77">
        <v>78.571428571428569</v>
      </c>
      <c r="I77">
        <v>8</v>
      </c>
      <c r="J77">
        <v>43.820224719101127</v>
      </c>
      <c r="P77">
        <v>5</v>
      </c>
      <c r="Q77">
        <v>58.888888888888886</v>
      </c>
      <c r="W77">
        <v>8</v>
      </c>
      <c r="X77">
        <v>26.136363636363637</v>
      </c>
    </row>
    <row r="78" spans="1:26" x14ac:dyDescent="0.2">
      <c r="B78">
        <v>9</v>
      </c>
      <c r="C78">
        <v>61.904761904761905</v>
      </c>
      <c r="I78">
        <v>9</v>
      </c>
      <c r="J78">
        <v>34.285714285714285</v>
      </c>
      <c r="P78">
        <v>6</v>
      </c>
      <c r="Q78">
        <v>62.820512820512818</v>
      </c>
      <c r="W78">
        <v>9</v>
      </c>
      <c r="X78">
        <v>10.835913312693499</v>
      </c>
    </row>
    <row r="79" spans="1:26" x14ac:dyDescent="0.2">
      <c r="B79">
        <v>10</v>
      </c>
      <c r="C79">
        <v>31.428571428571427</v>
      </c>
      <c r="I79">
        <v>10</v>
      </c>
      <c r="J79">
        <v>32.142857142857146</v>
      </c>
      <c r="P79">
        <v>7</v>
      </c>
      <c r="Q79">
        <v>39.00709219858156</v>
      </c>
      <c r="W79">
        <v>10</v>
      </c>
      <c r="X79">
        <v>19.251336898395721</v>
      </c>
    </row>
    <row r="80" spans="1:26" x14ac:dyDescent="0.2">
      <c r="B80">
        <v>11</v>
      </c>
      <c r="C80">
        <v>52.38095238095238</v>
      </c>
      <c r="I80">
        <v>11</v>
      </c>
      <c r="J80">
        <v>35.135135135135137</v>
      </c>
      <c r="P80">
        <v>8</v>
      </c>
      <c r="Q80">
        <v>72.21052631578948</v>
      </c>
      <c r="W80">
        <v>11</v>
      </c>
      <c r="X80">
        <v>30</v>
      </c>
    </row>
    <row r="81" spans="1:26" x14ac:dyDescent="0.2">
      <c r="B81">
        <v>12</v>
      </c>
      <c r="C81">
        <v>14.285714285714286</v>
      </c>
      <c r="I81">
        <v>12</v>
      </c>
      <c r="J81">
        <v>80</v>
      </c>
      <c r="P81">
        <v>9</v>
      </c>
      <c r="Q81">
        <v>57.272727272727273</v>
      </c>
      <c r="W81">
        <v>12</v>
      </c>
      <c r="X81">
        <v>20.300751879699249</v>
      </c>
    </row>
    <row r="82" spans="1:26" x14ac:dyDescent="0.2">
      <c r="P82">
        <v>10</v>
      </c>
      <c r="Q82">
        <v>26.666666666666668</v>
      </c>
    </row>
    <row r="83" spans="1:26" x14ac:dyDescent="0.2">
      <c r="A83" t="s">
        <v>5</v>
      </c>
      <c r="B83" t="s">
        <v>1</v>
      </c>
      <c r="C83" t="s">
        <v>2</v>
      </c>
      <c r="D83" t="s">
        <v>4</v>
      </c>
      <c r="E83" t="s">
        <v>95</v>
      </c>
      <c r="H83" t="s">
        <v>5</v>
      </c>
      <c r="I83" t="s">
        <v>1</v>
      </c>
      <c r="J83" t="s">
        <v>2</v>
      </c>
      <c r="K83" t="s">
        <v>4</v>
      </c>
      <c r="L83" t="s">
        <v>95</v>
      </c>
      <c r="P83">
        <v>11</v>
      </c>
      <c r="Q83">
        <v>50.505050505050505</v>
      </c>
      <c r="V83" t="s">
        <v>5</v>
      </c>
      <c r="W83" t="s">
        <v>1</v>
      </c>
      <c r="X83" t="s">
        <v>2</v>
      </c>
      <c r="Y83" t="s">
        <v>4</v>
      </c>
      <c r="Z83" t="s">
        <v>95</v>
      </c>
    </row>
    <row r="84" spans="1:26" ht="16" x14ac:dyDescent="0.25">
      <c r="A84" t="s">
        <v>49</v>
      </c>
      <c r="B84">
        <v>1</v>
      </c>
      <c r="C84">
        <v>32.67326732673267</v>
      </c>
      <c r="D84">
        <v>30.990020369226396</v>
      </c>
      <c r="E84" s="4">
        <f>STDEV(C84:C95) /SQRT(COUNT(C84:C95))</f>
        <v>7.5572757552937908</v>
      </c>
      <c r="H84" t="s">
        <v>49</v>
      </c>
      <c r="I84">
        <v>1</v>
      </c>
      <c r="J84">
        <v>56.410256410256409</v>
      </c>
      <c r="K84">
        <v>36.976901818796662</v>
      </c>
      <c r="L84" s="4">
        <f>STDEV(J84:J95) /SQRT(COUNT(J84:J95))</f>
        <v>5.0591262286826417</v>
      </c>
      <c r="P84">
        <v>12</v>
      </c>
      <c r="Q84">
        <v>78.974358974358978</v>
      </c>
      <c r="V84" t="s">
        <v>49</v>
      </c>
      <c r="W84">
        <v>1</v>
      </c>
      <c r="X84">
        <v>-5.9523809523809526</v>
      </c>
      <c r="Y84">
        <v>2.1975449415547237</v>
      </c>
      <c r="Z84" s="4">
        <f>STDEV(X84:X95) /SQRT(COUNT(X84:X95))</f>
        <v>4.355740561776158</v>
      </c>
    </row>
    <row r="85" spans="1:26" x14ac:dyDescent="0.2">
      <c r="B85">
        <v>2</v>
      </c>
      <c r="C85">
        <v>7.3170731707317076</v>
      </c>
      <c r="I85">
        <v>2</v>
      </c>
      <c r="J85">
        <v>53.623188405797102</v>
      </c>
      <c r="W85">
        <v>2</v>
      </c>
      <c r="X85">
        <v>12</v>
      </c>
    </row>
    <row r="86" spans="1:26" x14ac:dyDescent="0.2">
      <c r="B86">
        <v>3</v>
      </c>
      <c r="C86">
        <v>67.567567567567565</v>
      </c>
      <c r="I86">
        <v>3</v>
      </c>
      <c r="J86">
        <v>51.351351351351354</v>
      </c>
      <c r="O86" t="s">
        <v>5</v>
      </c>
      <c r="P86" t="s">
        <v>1</v>
      </c>
      <c r="Q86" t="s">
        <v>2</v>
      </c>
      <c r="R86" t="s">
        <v>4</v>
      </c>
      <c r="S86" t="s">
        <v>95</v>
      </c>
      <c r="W86">
        <v>3</v>
      </c>
      <c r="X86">
        <v>-34.389140271493211</v>
      </c>
    </row>
    <row r="87" spans="1:26" ht="16" x14ac:dyDescent="0.25">
      <c r="B87">
        <v>4</v>
      </c>
      <c r="C87">
        <v>10.344827586206897</v>
      </c>
      <c r="I87">
        <v>4</v>
      </c>
      <c r="J87">
        <v>5.5555555555555554</v>
      </c>
      <c r="O87" t="s">
        <v>49</v>
      </c>
      <c r="P87">
        <v>1</v>
      </c>
      <c r="Q87">
        <v>-5.147058823529413</v>
      </c>
      <c r="R87">
        <v>7.4756688069976649</v>
      </c>
      <c r="S87" s="4">
        <f>STDEV(Q87:Q98) /SQRT(COUNT(Q87:Q98))</f>
        <v>5.0368010364906377</v>
      </c>
      <c r="W87">
        <v>4</v>
      </c>
      <c r="X87">
        <v>-8.2051282051282044</v>
      </c>
    </row>
    <row r="88" spans="1:26" x14ac:dyDescent="0.2">
      <c r="B88">
        <v>5</v>
      </c>
      <c r="C88">
        <v>21.05263157894737</v>
      </c>
      <c r="I88">
        <v>5</v>
      </c>
      <c r="J88">
        <v>21.428571428571427</v>
      </c>
      <c r="P88">
        <v>2</v>
      </c>
      <c r="Q88">
        <v>43.75</v>
      </c>
      <c r="W88">
        <v>5</v>
      </c>
      <c r="X88">
        <v>1.1111111111111107</v>
      </c>
    </row>
    <row r="89" spans="1:26" x14ac:dyDescent="0.2">
      <c r="B89">
        <v>6</v>
      </c>
      <c r="C89">
        <v>78.571428571428569</v>
      </c>
      <c r="I89">
        <v>6</v>
      </c>
      <c r="J89">
        <v>12.359550561797754</v>
      </c>
      <c r="P89">
        <v>3</v>
      </c>
      <c r="Q89">
        <v>17.510944340212632</v>
      </c>
      <c r="W89">
        <v>6</v>
      </c>
      <c r="X89">
        <v>8.7121212121212128</v>
      </c>
    </row>
    <row r="90" spans="1:26" x14ac:dyDescent="0.2">
      <c r="B90">
        <v>7</v>
      </c>
      <c r="C90">
        <v>16.666666666666668</v>
      </c>
      <c r="I90">
        <v>7</v>
      </c>
      <c r="J90">
        <v>40.74074074074074</v>
      </c>
      <c r="P90">
        <v>4</v>
      </c>
      <c r="Q90">
        <v>-3.3618984838497035</v>
      </c>
      <c r="W90">
        <v>7</v>
      </c>
      <c r="X90">
        <v>-0.69444444444444464</v>
      </c>
    </row>
    <row r="91" spans="1:26" x14ac:dyDescent="0.2">
      <c r="B91">
        <v>8</v>
      </c>
      <c r="C91">
        <v>29.72972972972973</v>
      </c>
      <c r="I91">
        <v>8</v>
      </c>
      <c r="J91">
        <v>58.974358974358971</v>
      </c>
      <c r="P91">
        <v>5</v>
      </c>
      <c r="Q91">
        <v>9.9567099567099575</v>
      </c>
      <c r="W91">
        <v>8</v>
      </c>
      <c r="X91">
        <v>17.831813576494429</v>
      </c>
    </row>
    <row r="92" spans="1:26" x14ac:dyDescent="0.2">
      <c r="B92">
        <v>9</v>
      </c>
      <c r="C92">
        <v>51.724137931034484</v>
      </c>
      <c r="I92">
        <v>9</v>
      </c>
      <c r="J92">
        <v>41.573033707865171</v>
      </c>
      <c r="P92">
        <v>6</v>
      </c>
      <c r="Q92">
        <v>10.545454545454547</v>
      </c>
      <c r="W92">
        <v>9</v>
      </c>
      <c r="X92">
        <v>25.174825174825173</v>
      </c>
    </row>
    <row r="93" spans="1:26" x14ac:dyDescent="0.2">
      <c r="B93">
        <v>10</v>
      </c>
      <c r="C93">
        <v>-5.7471264367816088</v>
      </c>
      <c r="I93">
        <v>10</v>
      </c>
      <c r="J93">
        <v>26</v>
      </c>
      <c r="P93">
        <v>7</v>
      </c>
      <c r="Q93">
        <v>-3.3205619412515963</v>
      </c>
      <c r="W93">
        <v>10</v>
      </c>
      <c r="X93">
        <v>8.9743589743589745</v>
      </c>
    </row>
    <row r="94" spans="1:26" x14ac:dyDescent="0.2">
      <c r="B94">
        <v>11</v>
      </c>
      <c r="C94">
        <v>14.754098360655737</v>
      </c>
      <c r="I94">
        <v>11</v>
      </c>
      <c r="J94">
        <v>42.372881355932201</v>
      </c>
      <c r="P94">
        <v>8</v>
      </c>
      <c r="Q94">
        <v>-25</v>
      </c>
      <c r="W94">
        <v>11</v>
      </c>
      <c r="X94">
        <v>4.1758241758241752</v>
      </c>
    </row>
    <row r="95" spans="1:26" x14ac:dyDescent="0.2">
      <c r="B95">
        <v>12</v>
      </c>
      <c r="C95">
        <v>3.4482758620689653</v>
      </c>
      <c r="I95">
        <v>12</v>
      </c>
      <c r="J95">
        <v>33.333333333333336</v>
      </c>
      <c r="P95">
        <v>9</v>
      </c>
      <c r="Q95">
        <v>7.1428571428571432</v>
      </c>
      <c r="W95">
        <v>12</v>
      </c>
      <c r="X95">
        <v>-2.3684210526315788</v>
      </c>
    </row>
    <row r="96" spans="1:26" x14ac:dyDescent="0.2">
      <c r="P96">
        <v>10</v>
      </c>
      <c r="Q96">
        <v>0</v>
      </c>
    </row>
    <row r="97" spans="1:22" x14ac:dyDescent="0.2">
      <c r="A97" s="2" t="s">
        <v>6</v>
      </c>
      <c r="H97" s="2" t="s">
        <v>6</v>
      </c>
      <c r="P97">
        <v>11</v>
      </c>
      <c r="Q97">
        <v>10</v>
      </c>
      <c r="V97" s="2" t="s">
        <v>6</v>
      </c>
    </row>
    <row r="98" spans="1:22" x14ac:dyDescent="0.2">
      <c r="A98" s="2" t="s">
        <v>7</v>
      </c>
      <c r="H98" s="2" t="s">
        <v>7</v>
      </c>
      <c r="P98">
        <v>12</v>
      </c>
      <c r="Q98">
        <v>27.631578947368421</v>
      </c>
      <c r="V98" s="2" t="s">
        <v>18</v>
      </c>
    </row>
    <row r="99" spans="1:22" x14ac:dyDescent="0.2">
      <c r="A99" s="2" t="s">
        <v>111</v>
      </c>
      <c r="H99" s="2" t="s">
        <v>114</v>
      </c>
      <c r="V99" s="2" t="s">
        <v>126</v>
      </c>
    </row>
    <row r="100" spans="1:22" x14ac:dyDescent="0.2">
      <c r="A100" s="2" t="s">
        <v>112</v>
      </c>
      <c r="H100" s="2" t="s">
        <v>115</v>
      </c>
      <c r="O100" s="2" t="s">
        <v>6</v>
      </c>
      <c r="V100" s="2" t="s">
        <v>127</v>
      </c>
    </row>
    <row r="101" spans="1:22" x14ac:dyDescent="0.2">
      <c r="A101" s="2" t="s">
        <v>113</v>
      </c>
      <c r="H101" s="2" t="s">
        <v>116</v>
      </c>
      <c r="O101" s="2" t="s">
        <v>18</v>
      </c>
      <c r="V101" s="2" t="s">
        <v>128</v>
      </c>
    </row>
    <row r="102" spans="1:22" x14ac:dyDescent="0.2">
      <c r="A102" s="3" t="s">
        <v>13</v>
      </c>
      <c r="H102" s="3" t="s">
        <v>13</v>
      </c>
      <c r="O102" s="2" t="s">
        <v>120</v>
      </c>
      <c r="V102" s="2" t="s">
        <v>37</v>
      </c>
    </row>
    <row r="103" spans="1:22" x14ac:dyDescent="0.2">
      <c r="O103" s="2" t="s">
        <v>121</v>
      </c>
      <c r="V103" s="2" t="s">
        <v>38</v>
      </c>
    </row>
    <row r="104" spans="1:22" x14ac:dyDescent="0.2">
      <c r="O104" s="2" t="s">
        <v>122</v>
      </c>
      <c r="V104" s="3" t="s">
        <v>13</v>
      </c>
    </row>
    <row r="105" spans="1:22" x14ac:dyDescent="0.2">
      <c r="O105" s="2" t="s">
        <v>37</v>
      </c>
    </row>
    <row r="106" spans="1:22" x14ac:dyDescent="0.2">
      <c r="O106" s="2" t="s">
        <v>38</v>
      </c>
    </row>
    <row r="107" spans="1:22" x14ac:dyDescent="0.2">
      <c r="O107" s="3" t="s">
        <v>13</v>
      </c>
    </row>
    <row r="109" spans="1:22" x14ac:dyDescent="0.2">
      <c r="O109" t="s">
        <v>119</v>
      </c>
    </row>
    <row r="110" spans="1:22" x14ac:dyDescent="0.2">
      <c r="O110" t="s">
        <v>61</v>
      </c>
      <c r="P110" t="s">
        <v>1</v>
      </c>
      <c r="Q110" t="s">
        <v>2</v>
      </c>
      <c r="R110" t="s">
        <v>4</v>
      </c>
      <c r="S110" t="s">
        <v>95</v>
      </c>
    </row>
    <row r="111" spans="1:22" ht="16" x14ac:dyDescent="0.25">
      <c r="O111" t="s">
        <v>32</v>
      </c>
      <c r="P111">
        <v>1</v>
      </c>
      <c r="Q111">
        <v>29.824561403508774</v>
      </c>
      <c r="R111">
        <v>40.059459231285857</v>
      </c>
      <c r="S111" s="4">
        <f>STDEV(Q111:Q122) /SQRT(COUNT(Q111:Q122))</f>
        <v>2.4072914690199476</v>
      </c>
    </row>
    <row r="112" spans="1:22" x14ac:dyDescent="0.2">
      <c r="P112">
        <v>2</v>
      </c>
      <c r="Q112">
        <v>41.754385964912281</v>
      </c>
      <c r="R112">
        <v>42.07104034718742</v>
      </c>
      <c r="S112">
        <v>1.2187520383381336</v>
      </c>
    </row>
    <row r="113" spans="15:19" x14ac:dyDescent="0.2">
      <c r="P113">
        <v>3</v>
      </c>
      <c r="Q113">
        <v>50.607287449392715</v>
      </c>
      <c r="R113">
        <v>1.6927984190033307</v>
      </c>
      <c r="S113">
        <v>4.4494872431085879</v>
      </c>
    </row>
    <row r="114" spans="15:19" x14ac:dyDescent="0.2">
      <c r="P114">
        <v>4</v>
      </c>
      <c r="Q114">
        <v>38.095238095238095</v>
      </c>
    </row>
    <row r="115" spans="15:19" x14ac:dyDescent="0.2">
      <c r="P115">
        <v>5</v>
      </c>
      <c r="Q115">
        <v>49.206349206349202</v>
      </c>
    </row>
    <row r="116" spans="15:19" x14ac:dyDescent="0.2">
      <c r="P116">
        <v>6</v>
      </c>
      <c r="Q116">
        <v>46.19047619047619</v>
      </c>
    </row>
    <row r="117" spans="15:19" x14ac:dyDescent="0.2">
      <c r="P117">
        <v>7</v>
      </c>
      <c r="Q117">
        <v>40.384615384615387</v>
      </c>
    </row>
    <row r="118" spans="15:19" x14ac:dyDescent="0.2">
      <c r="P118">
        <v>8</v>
      </c>
      <c r="Q118">
        <v>46.428571428571431</v>
      </c>
    </row>
    <row r="119" spans="15:19" x14ac:dyDescent="0.2">
      <c r="P119">
        <v>9</v>
      </c>
      <c r="Q119">
        <v>23.333333333333332</v>
      </c>
    </row>
    <row r="120" spans="15:19" x14ac:dyDescent="0.2">
      <c r="P120">
        <v>10</v>
      </c>
      <c r="Q120">
        <v>32.507739938080498</v>
      </c>
    </row>
    <row r="121" spans="15:19" x14ac:dyDescent="0.2">
      <c r="P121">
        <v>11</v>
      </c>
      <c r="Q121">
        <v>36.666666666666671</v>
      </c>
    </row>
    <row r="122" spans="15:19" x14ac:dyDescent="0.2">
      <c r="P122">
        <v>12</v>
      </c>
      <c r="Q122">
        <v>45.714285714285715</v>
      </c>
    </row>
    <row r="124" spans="15:19" x14ac:dyDescent="0.2">
      <c r="O124" t="s">
        <v>3</v>
      </c>
      <c r="P124" t="s">
        <v>1</v>
      </c>
      <c r="Q124" t="s">
        <v>2</v>
      </c>
      <c r="R124" t="s">
        <v>4</v>
      </c>
      <c r="S124" t="s">
        <v>95</v>
      </c>
    </row>
    <row r="125" spans="15:19" ht="16" x14ac:dyDescent="0.25">
      <c r="O125" t="s">
        <v>48</v>
      </c>
      <c r="P125">
        <v>1</v>
      </c>
      <c r="Q125">
        <v>34.285714285714285</v>
      </c>
      <c r="R125">
        <v>42.07104034718742</v>
      </c>
      <c r="S125" s="4">
        <f>STDEV(Q125:Q136) /SQRT(COUNT(Q125:Q136))</f>
        <v>1.2187520383381336</v>
      </c>
    </row>
    <row r="126" spans="15:19" x14ac:dyDescent="0.2">
      <c r="P126">
        <v>2</v>
      </c>
      <c r="Q126">
        <v>38.846153846153847</v>
      </c>
      <c r="R126">
        <v>1.6927984190033307</v>
      </c>
      <c r="S126">
        <v>4.4494872431085879</v>
      </c>
    </row>
    <row r="127" spans="15:19" x14ac:dyDescent="0.2">
      <c r="P127">
        <v>3</v>
      </c>
      <c r="Q127">
        <v>43.589743589743591</v>
      </c>
    </row>
    <row r="128" spans="15:19" x14ac:dyDescent="0.2">
      <c r="P128">
        <v>4</v>
      </c>
      <c r="Q128">
        <v>49.145299145299148</v>
      </c>
    </row>
    <row r="129" spans="15:19" x14ac:dyDescent="0.2">
      <c r="P129">
        <v>5</v>
      </c>
      <c r="Q129">
        <v>41.428571428571431</v>
      </c>
    </row>
    <row r="130" spans="15:19" x14ac:dyDescent="0.2">
      <c r="P130">
        <v>6</v>
      </c>
      <c r="Q130">
        <v>45.264259549973836</v>
      </c>
    </row>
    <row r="131" spans="15:19" x14ac:dyDescent="0.2">
      <c r="P131">
        <v>7</v>
      </c>
      <c r="Q131">
        <v>48.847926267281103</v>
      </c>
    </row>
    <row r="132" spans="15:19" x14ac:dyDescent="0.2">
      <c r="P132">
        <v>8</v>
      </c>
      <c r="Q132">
        <v>38.827838827838832</v>
      </c>
    </row>
    <row r="133" spans="15:19" x14ac:dyDescent="0.2">
      <c r="P133">
        <v>9</v>
      </c>
      <c r="Q133">
        <v>41.428571428571431</v>
      </c>
    </row>
    <row r="134" spans="15:19" x14ac:dyDescent="0.2">
      <c r="P134">
        <v>10</v>
      </c>
      <c r="Q134">
        <v>41.666666666666671</v>
      </c>
    </row>
    <row r="135" spans="15:19" x14ac:dyDescent="0.2">
      <c r="P135">
        <v>11</v>
      </c>
      <c r="Q135">
        <v>41.666666666666671</v>
      </c>
    </row>
    <row r="136" spans="15:19" x14ac:dyDescent="0.2">
      <c r="P136">
        <v>12</v>
      </c>
      <c r="Q136">
        <v>39.855072463768117</v>
      </c>
    </row>
    <row r="138" spans="15:19" x14ac:dyDescent="0.2">
      <c r="O138" t="s">
        <v>5</v>
      </c>
      <c r="P138" t="s">
        <v>1</v>
      </c>
      <c r="Q138" t="s">
        <v>2</v>
      </c>
      <c r="R138" t="s">
        <v>4</v>
      </c>
      <c r="S138" t="s">
        <v>95</v>
      </c>
    </row>
    <row r="139" spans="15:19" ht="16" x14ac:dyDescent="0.25">
      <c r="O139" t="s">
        <v>49</v>
      </c>
      <c r="P139">
        <v>1</v>
      </c>
      <c r="Q139">
        <v>11.538461538461538</v>
      </c>
      <c r="R139">
        <v>1.6927984190033307</v>
      </c>
      <c r="S139" s="4">
        <f>STDEV(Q139:Q150) /SQRT(COUNT(Q139:Q150))</f>
        <v>4.4494872431085879</v>
      </c>
    </row>
    <row r="140" spans="15:19" x14ac:dyDescent="0.2">
      <c r="P140">
        <v>2</v>
      </c>
      <c r="Q140">
        <v>9.8143236074270561</v>
      </c>
    </row>
    <row r="141" spans="15:19" x14ac:dyDescent="0.2">
      <c r="P141">
        <v>3</v>
      </c>
      <c r="Q141">
        <v>19.444444444444443</v>
      </c>
    </row>
    <row r="142" spans="15:19" x14ac:dyDescent="0.2">
      <c r="P142">
        <v>4</v>
      </c>
      <c r="Q142">
        <v>-14.338235294117649</v>
      </c>
    </row>
    <row r="143" spans="15:19" x14ac:dyDescent="0.2">
      <c r="P143">
        <v>5</v>
      </c>
      <c r="Q143">
        <v>-5.3830227743271228</v>
      </c>
    </row>
    <row r="144" spans="15:19" x14ac:dyDescent="0.2">
      <c r="P144">
        <v>6</v>
      </c>
      <c r="Q144">
        <v>14.052287581699346</v>
      </c>
    </row>
    <row r="145" spans="15:17" x14ac:dyDescent="0.2">
      <c r="P145">
        <v>7</v>
      </c>
      <c r="Q145">
        <v>8.5144927536231876</v>
      </c>
    </row>
    <row r="146" spans="15:17" x14ac:dyDescent="0.2">
      <c r="P146">
        <v>8</v>
      </c>
      <c r="Q146">
        <v>-6.3636363636363633</v>
      </c>
    </row>
    <row r="147" spans="15:17" x14ac:dyDescent="0.2">
      <c r="P147">
        <v>9</v>
      </c>
      <c r="Q147">
        <v>-9.5238095238095255</v>
      </c>
    </row>
    <row r="148" spans="15:17" x14ac:dyDescent="0.2">
      <c r="P148">
        <v>10</v>
      </c>
      <c r="Q148">
        <v>-32.5</v>
      </c>
    </row>
    <row r="149" spans="15:17" x14ac:dyDescent="0.2">
      <c r="P149">
        <v>11</v>
      </c>
      <c r="Q149">
        <v>8.3916083916083917</v>
      </c>
    </row>
    <row r="150" spans="15:17" x14ac:dyDescent="0.2">
      <c r="P150">
        <v>12</v>
      </c>
      <c r="Q150">
        <v>16.666666666666668</v>
      </c>
    </row>
    <row r="152" spans="15:17" x14ac:dyDescent="0.2">
      <c r="O152" s="2" t="s">
        <v>6</v>
      </c>
    </row>
    <row r="153" spans="15:17" x14ac:dyDescent="0.2">
      <c r="O153" s="2" t="s">
        <v>18</v>
      </c>
    </row>
    <row r="154" spans="15:17" x14ac:dyDescent="0.2">
      <c r="O154" s="2" t="s">
        <v>123</v>
      </c>
    </row>
    <row r="155" spans="15:17" x14ac:dyDescent="0.2">
      <c r="O155" s="2" t="s">
        <v>124</v>
      </c>
    </row>
    <row r="156" spans="15:17" x14ac:dyDescent="0.2">
      <c r="O156" s="2" t="s">
        <v>125</v>
      </c>
    </row>
    <row r="157" spans="15:17" x14ac:dyDescent="0.2">
      <c r="O157" s="2" t="s">
        <v>37</v>
      </c>
    </row>
    <row r="158" spans="15:17" x14ac:dyDescent="0.2">
      <c r="O158" s="2" t="s">
        <v>38</v>
      </c>
    </row>
    <row r="159" spans="15:17" x14ac:dyDescent="0.2">
      <c r="O159" s="3" t="s">
        <v>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1494-810F-49B0-BEEF-098D2BCB0A70}">
  <dimension ref="A1:AG158"/>
  <sheetViews>
    <sheetView topLeftCell="A131" workbookViewId="0">
      <selection activeCell="K138" sqref="K138"/>
    </sheetView>
  </sheetViews>
  <sheetFormatPr baseColWidth="10" defaultColWidth="11.5" defaultRowHeight="15" x14ac:dyDescent="0.2"/>
  <cols>
    <col min="7" max="7" width="11.5" style="1"/>
    <col min="14" max="14" width="11.5" style="1"/>
    <col min="21" max="21" width="11.5" style="1"/>
    <col min="28" max="28" width="11.5" style="1"/>
  </cols>
  <sheetData>
    <row r="1" spans="1:33" x14ac:dyDescent="0.2">
      <c r="A1" t="s">
        <v>9</v>
      </c>
      <c r="C1" t="s">
        <v>391</v>
      </c>
      <c r="H1" t="s">
        <v>10</v>
      </c>
      <c r="J1" t="s">
        <v>391</v>
      </c>
      <c r="O1" t="s">
        <v>11</v>
      </c>
      <c r="Q1" t="s">
        <v>391</v>
      </c>
      <c r="V1" t="s">
        <v>12</v>
      </c>
      <c r="X1" t="s">
        <v>391</v>
      </c>
      <c r="AC1" t="s">
        <v>14</v>
      </c>
      <c r="AE1" t="s">
        <v>391</v>
      </c>
    </row>
    <row r="2" spans="1:33" x14ac:dyDescent="0.2">
      <c r="A2" t="s">
        <v>61</v>
      </c>
      <c r="B2" t="s">
        <v>1</v>
      </c>
      <c r="C2" t="s">
        <v>2</v>
      </c>
      <c r="D2" t="s">
        <v>4</v>
      </c>
      <c r="E2" t="s">
        <v>95</v>
      </c>
      <c r="H2" t="s">
        <v>61</v>
      </c>
      <c r="I2" t="s">
        <v>1</v>
      </c>
      <c r="J2" t="s">
        <v>2</v>
      </c>
      <c r="K2" t="s">
        <v>4</v>
      </c>
      <c r="L2" t="s">
        <v>95</v>
      </c>
      <c r="O2" t="s">
        <v>61</v>
      </c>
      <c r="P2" t="s">
        <v>1</v>
      </c>
      <c r="Q2" t="s">
        <v>2</v>
      </c>
      <c r="R2" t="s">
        <v>4</v>
      </c>
      <c r="S2" t="s">
        <v>95</v>
      </c>
      <c r="V2" t="s">
        <v>61</v>
      </c>
      <c r="W2" t="s">
        <v>1</v>
      </c>
      <c r="X2" t="s">
        <v>2</v>
      </c>
      <c r="Y2" t="s">
        <v>4</v>
      </c>
      <c r="Z2" t="s">
        <v>95</v>
      </c>
      <c r="AC2" t="s">
        <v>61</v>
      </c>
      <c r="AD2" t="s">
        <v>1</v>
      </c>
      <c r="AE2" t="s">
        <v>2</v>
      </c>
      <c r="AF2" t="s">
        <v>4</v>
      </c>
      <c r="AG2" t="s">
        <v>95</v>
      </c>
    </row>
    <row r="3" spans="1:33" ht="16" x14ac:dyDescent="0.25">
      <c r="A3" t="s">
        <v>32</v>
      </c>
      <c r="B3">
        <v>1</v>
      </c>
      <c r="C3">
        <v>40.74074074074074</v>
      </c>
      <c r="D3">
        <f>AVERAGE(C3:C14)</f>
        <v>33.488700886292726</v>
      </c>
      <c r="E3" s="4">
        <f>STDEV(C3:C14) /SQRT(COUNT(C3:C14))</f>
        <v>6.1212057488583946</v>
      </c>
      <c r="H3" t="s">
        <v>32</v>
      </c>
      <c r="I3">
        <v>1</v>
      </c>
      <c r="J3">
        <v>3.7037037037037037</v>
      </c>
      <c r="K3">
        <f>AVERAGE(J3:J14)</f>
        <v>22.425883832599581</v>
      </c>
      <c r="L3" s="4">
        <f>STDEV(J3:J14) /SQRT(COUNT(J3:J14))</f>
        <v>6.56648264997329</v>
      </c>
      <c r="O3" t="s">
        <v>32</v>
      </c>
      <c r="P3">
        <v>1</v>
      </c>
      <c r="Q3">
        <v>45.679012345679013</v>
      </c>
      <c r="R3">
        <f>AVERAGE(Q3:Q14)</f>
        <v>50.621108466677704</v>
      </c>
      <c r="S3" s="4">
        <f>STDEV(Q3:Q14) /SQRT(COUNT(Q3:Q14))</f>
        <v>4.7693840601346613</v>
      </c>
      <c r="V3" t="s">
        <v>32</v>
      </c>
      <c r="W3">
        <v>1</v>
      </c>
      <c r="X3">
        <v>78.96613190730838</v>
      </c>
      <c r="Y3">
        <f>AVERAGE(X3:X14)</f>
        <v>68.163018608374969</v>
      </c>
      <c r="Z3" s="4">
        <f>STDEV(X3:X14) /SQRT(COUNT(X3:X14))</f>
        <v>5.2829142967882889</v>
      </c>
      <c r="AC3" t="s">
        <v>32</v>
      </c>
      <c r="AD3">
        <v>1</v>
      </c>
      <c r="AE3">
        <v>36.36363636363636</v>
      </c>
      <c r="AF3">
        <f>AVERAGE(AE3:AE14)</f>
        <v>61.844979094834095</v>
      </c>
      <c r="AG3" s="4">
        <f>STDEV(AE3:AE14) /SQRT(COUNT(AE3:AE14))</f>
        <v>4.5684603018954961</v>
      </c>
    </row>
    <row r="4" spans="1:33" x14ac:dyDescent="0.2">
      <c r="A4" t="s">
        <v>57</v>
      </c>
      <c r="B4">
        <v>2</v>
      </c>
      <c r="C4">
        <v>20.634920634920636</v>
      </c>
      <c r="H4" t="s">
        <v>57</v>
      </c>
      <c r="I4">
        <v>2</v>
      </c>
      <c r="J4">
        <v>2.5641025641025643</v>
      </c>
      <c r="O4" t="s">
        <v>57</v>
      </c>
      <c r="P4">
        <v>2</v>
      </c>
      <c r="Q4">
        <v>39.534883720930232</v>
      </c>
      <c r="V4" t="s">
        <v>57</v>
      </c>
      <c r="W4">
        <v>2</v>
      </c>
      <c r="X4">
        <v>76.704545454545453</v>
      </c>
      <c r="AC4" t="s">
        <v>57</v>
      </c>
      <c r="AD4">
        <v>2</v>
      </c>
      <c r="AE4">
        <v>46.458333333333336</v>
      </c>
    </row>
    <row r="5" spans="1:33" x14ac:dyDescent="0.2">
      <c r="B5">
        <v>3</v>
      </c>
      <c r="C5">
        <v>39.622641509433961</v>
      </c>
      <c r="I5">
        <v>3</v>
      </c>
      <c r="J5">
        <v>6.1224489795918364</v>
      </c>
      <c r="P5">
        <v>3</v>
      </c>
      <c r="Q5">
        <v>45.454545454545453</v>
      </c>
      <c r="W5">
        <v>3</v>
      </c>
      <c r="X5">
        <v>45.629370629370634</v>
      </c>
      <c r="AD5">
        <v>3</v>
      </c>
      <c r="AE5">
        <v>56.229235880398676</v>
      </c>
    </row>
    <row r="6" spans="1:33" x14ac:dyDescent="0.2">
      <c r="B6">
        <v>4</v>
      </c>
      <c r="C6">
        <v>38.297872340425535</v>
      </c>
      <c r="I6">
        <v>4</v>
      </c>
      <c r="J6">
        <v>21.05263157894737</v>
      </c>
      <c r="P6">
        <v>4</v>
      </c>
      <c r="Q6">
        <v>67.567567567567565</v>
      </c>
      <c r="W6">
        <v>4</v>
      </c>
      <c r="X6">
        <v>53.030303030303031</v>
      </c>
      <c r="AD6">
        <v>4</v>
      </c>
      <c r="AE6">
        <v>36.428571428571431</v>
      </c>
    </row>
    <row r="7" spans="1:33" x14ac:dyDescent="0.2">
      <c r="B7">
        <v>5</v>
      </c>
      <c r="C7">
        <v>15.492957746478874</v>
      </c>
      <c r="I7">
        <v>5</v>
      </c>
      <c r="J7">
        <v>19.047619047619047</v>
      </c>
      <c r="P7">
        <v>5</v>
      </c>
      <c r="Q7">
        <v>5.882352941176471</v>
      </c>
      <c r="W7">
        <v>5</v>
      </c>
      <c r="X7">
        <v>80.560224089635852</v>
      </c>
      <c r="AD7">
        <v>5</v>
      </c>
      <c r="AE7">
        <v>79.184188393608082</v>
      </c>
    </row>
    <row r="8" spans="1:33" x14ac:dyDescent="0.2">
      <c r="B8">
        <v>6</v>
      </c>
      <c r="C8">
        <v>8.8235294117647065</v>
      </c>
      <c r="I8">
        <v>6</v>
      </c>
      <c r="J8">
        <v>34.177215189873415</v>
      </c>
      <c r="P8">
        <v>6</v>
      </c>
      <c r="Q8">
        <v>54.545454545454547</v>
      </c>
      <c r="W8">
        <v>6</v>
      </c>
      <c r="X8">
        <v>56.83229813664596</v>
      </c>
      <c r="AD8">
        <v>6</v>
      </c>
      <c r="AE8">
        <v>66.666666666666657</v>
      </c>
    </row>
    <row r="9" spans="1:33" x14ac:dyDescent="0.2">
      <c r="B9">
        <v>7</v>
      </c>
      <c r="C9">
        <v>1.5384615384615385</v>
      </c>
      <c r="I9">
        <v>7</v>
      </c>
      <c r="J9">
        <v>50</v>
      </c>
      <c r="P9">
        <v>7</v>
      </c>
      <c r="Q9">
        <v>58.823529411764703</v>
      </c>
      <c r="W9">
        <v>7</v>
      </c>
      <c r="X9">
        <v>31.46551724137931</v>
      </c>
      <c r="AD9">
        <v>7</v>
      </c>
      <c r="AE9">
        <v>84.615384615384613</v>
      </c>
    </row>
    <row r="10" spans="1:33" x14ac:dyDescent="0.2">
      <c r="B10">
        <v>8</v>
      </c>
      <c r="C10">
        <v>57.692307692307693</v>
      </c>
      <c r="I10">
        <v>8</v>
      </c>
      <c r="J10">
        <v>51.515151515151516</v>
      </c>
      <c r="P10">
        <v>8</v>
      </c>
      <c r="Q10">
        <v>52</v>
      </c>
      <c r="W10">
        <v>8</v>
      </c>
      <c r="X10">
        <v>71.481481481481481</v>
      </c>
      <c r="AD10">
        <v>8</v>
      </c>
      <c r="AE10">
        <v>63.333333333333336</v>
      </c>
    </row>
    <row r="11" spans="1:33" x14ac:dyDescent="0.2">
      <c r="B11">
        <v>9</v>
      </c>
      <c r="C11">
        <v>55.555555555555557</v>
      </c>
      <c r="I11">
        <v>9</v>
      </c>
      <c r="J11">
        <v>34.782608695652172</v>
      </c>
      <c r="P11">
        <v>9</v>
      </c>
      <c r="Q11">
        <v>58.974358974358971</v>
      </c>
      <c r="W11">
        <v>9</v>
      </c>
      <c r="X11">
        <v>91.666666666666657</v>
      </c>
      <c r="AD11">
        <v>9</v>
      </c>
      <c r="AE11">
        <v>68.888888888888886</v>
      </c>
    </row>
    <row r="12" spans="1:33" x14ac:dyDescent="0.2">
      <c r="B12">
        <v>10</v>
      </c>
      <c r="C12">
        <v>11.111111111111111</v>
      </c>
      <c r="I12">
        <v>10</v>
      </c>
      <c r="J12">
        <v>18.367346938775512</v>
      </c>
      <c r="P12">
        <v>10</v>
      </c>
      <c r="Q12">
        <v>50</v>
      </c>
      <c r="W12">
        <v>10</v>
      </c>
      <c r="X12">
        <v>91.80602006688963</v>
      </c>
      <c r="AD12">
        <v>10</v>
      </c>
      <c r="AE12">
        <v>57.157784743991641</v>
      </c>
    </row>
    <row r="13" spans="1:33" x14ac:dyDescent="0.2">
      <c r="B13">
        <v>11</v>
      </c>
      <c r="C13">
        <v>48.717948717948715</v>
      </c>
      <c r="I13">
        <v>11</v>
      </c>
      <c r="J13">
        <v>50</v>
      </c>
      <c r="P13">
        <v>11</v>
      </c>
      <c r="Q13">
        <v>64.705882352941174</v>
      </c>
      <c r="W13">
        <v>11</v>
      </c>
      <c r="X13">
        <v>69.523809523809518</v>
      </c>
      <c r="AD13">
        <v>11</v>
      </c>
      <c r="AE13">
        <v>71.428571428571431</v>
      </c>
    </row>
    <row r="14" spans="1:33" x14ac:dyDescent="0.2">
      <c r="B14">
        <v>12</v>
      </c>
      <c r="C14">
        <v>63.636363636363633</v>
      </c>
      <c r="I14">
        <v>12</v>
      </c>
      <c r="J14">
        <v>-22.222222222222221</v>
      </c>
      <c r="P14">
        <v>12</v>
      </c>
      <c r="Q14">
        <v>64.285714285714292</v>
      </c>
      <c r="W14">
        <v>12</v>
      </c>
      <c r="X14">
        <v>70.28985507246378</v>
      </c>
      <c r="AD14">
        <v>12</v>
      </c>
      <c r="AE14">
        <v>75.385154061624647</v>
      </c>
    </row>
    <row r="16" spans="1:33" x14ac:dyDescent="0.2">
      <c r="A16" t="s">
        <v>3</v>
      </c>
      <c r="B16" t="s">
        <v>1</v>
      </c>
      <c r="C16" t="s">
        <v>2</v>
      </c>
      <c r="D16" t="s">
        <v>4</v>
      </c>
      <c r="E16" t="s">
        <v>95</v>
      </c>
      <c r="H16" t="s">
        <v>3</v>
      </c>
      <c r="I16" t="s">
        <v>1</v>
      </c>
      <c r="J16" t="s">
        <v>2</v>
      </c>
      <c r="K16" t="s">
        <v>4</v>
      </c>
      <c r="L16" t="s">
        <v>95</v>
      </c>
      <c r="O16" t="s">
        <v>3</v>
      </c>
      <c r="P16" t="s">
        <v>1</v>
      </c>
      <c r="Q16" t="s">
        <v>2</v>
      </c>
      <c r="R16" t="s">
        <v>4</v>
      </c>
      <c r="S16" t="s">
        <v>95</v>
      </c>
      <c r="V16" t="s">
        <v>3</v>
      </c>
      <c r="W16" t="s">
        <v>1</v>
      </c>
      <c r="X16" t="s">
        <v>2</v>
      </c>
      <c r="Y16" t="s">
        <v>4</v>
      </c>
      <c r="Z16" t="s">
        <v>95</v>
      </c>
      <c r="AC16" t="s">
        <v>3</v>
      </c>
      <c r="AD16" t="s">
        <v>1</v>
      </c>
      <c r="AE16" t="s">
        <v>2</v>
      </c>
      <c r="AF16" t="s">
        <v>4</v>
      </c>
      <c r="AG16" t="s">
        <v>95</v>
      </c>
    </row>
    <row r="17" spans="1:33" ht="16" x14ac:dyDescent="0.25">
      <c r="A17" t="s">
        <v>58</v>
      </c>
      <c r="B17">
        <v>1</v>
      </c>
      <c r="C17">
        <v>42.307692307692307</v>
      </c>
      <c r="D17">
        <f>AVERAGE(C17:C28)</f>
        <v>44.281082469590338</v>
      </c>
      <c r="E17" s="4">
        <f>STDEV(C17:C28) /SQRT(COUNT(C17:C28))</f>
        <v>7.2905376402769013</v>
      </c>
      <c r="H17" t="s">
        <v>58</v>
      </c>
      <c r="I17">
        <v>1</v>
      </c>
      <c r="J17">
        <v>20</v>
      </c>
      <c r="K17">
        <f>AVERAGE(J17:J28)</f>
        <v>28.897967237341685</v>
      </c>
      <c r="L17" s="4">
        <f>STDEV(J17:J28) /SQRT(COUNT(J17:J28))</f>
        <v>5.9135445996667251</v>
      </c>
      <c r="O17" t="s">
        <v>58</v>
      </c>
      <c r="P17">
        <v>1</v>
      </c>
      <c r="Q17">
        <v>61.53846153846154</v>
      </c>
      <c r="R17">
        <f>AVERAGE(Q17:Q28)</f>
        <v>39.035679821913412</v>
      </c>
      <c r="S17" s="4">
        <f>STDEV(Q17:Q28) /SQRT(COUNT(Q17:Q28))</f>
        <v>4.2405851709308724</v>
      </c>
      <c r="V17" t="s">
        <v>58</v>
      </c>
      <c r="W17">
        <v>1</v>
      </c>
      <c r="X17">
        <v>65.060908084163898</v>
      </c>
      <c r="Y17">
        <f>AVERAGE(X17:X28)</f>
        <v>58.688304740325293</v>
      </c>
      <c r="Z17" s="4">
        <f>STDEV(X17:X28) /SQRT(COUNT(X17:X28))</f>
        <v>4.9409557839166451</v>
      </c>
      <c r="AC17" t="s">
        <v>78</v>
      </c>
      <c r="AD17">
        <v>1</v>
      </c>
      <c r="AE17">
        <v>62.264905962384958</v>
      </c>
      <c r="AF17">
        <f>AVERAGE(AE17:AE28)</f>
        <v>62.946515287099459</v>
      </c>
      <c r="AG17" s="4">
        <f>STDEV(AE17:AE28) /SQRT(COUNT(AE17:AE28))</f>
        <v>4.1580946294671222</v>
      </c>
    </row>
    <row r="18" spans="1:33" x14ac:dyDescent="0.2">
      <c r="A18" t="s">
        <v>57</v>
      </c>
      <c r="B18">
        <v>2</v>
      </c>
      <c r="C18">
        <v>57.89473684210526</v>
      </c>
      <c r="H18" t="s">
        <v>57</v>
      </c>
      <c r="I18">
        <v>2</v>
      </c>
      <c r="J18">
        <v>17.80821917808219</v>
      </c>
      <c r="O18" t="s">
        <v>57</v>
      </c>
      <c r="P18">
        <v>2</v>
      </c>
      <c r="Q18">
        <v>35.849056603773583</v>
      </c>
      <c r="V18" t="s">
        <v>57</v>
      </c>
      <c r="W18">
        <v>2</v>
      </c>
      <c r="X18">
        <v>22.408026755852845</v>
      </c>
      <c r="AC18" t="s">
        <v>57</v>
      </c>
      <c r="AD18">
        <v>2</v>
      </c>
      <c r="AE18">
        <v>64.668304668304671</v>
      </c>
    </row>
    <row r="19" spans="1:33" x14ac:dyDescent="0.2">
      <c r="B19">
        <v>3</v>
      </c>
      <c r="C19">
        <v>45.054945054945058</v>
      </c>
      <c r="I19">
        <v>3</v>
      </c>
      <c r="J19">
        <v>10.679611650485437</v>
      </c>
      <c r="P19">
        <v>3</v>
      </c>
      <c r="Q19">
        <v>39.024390243902438</v>
      </c>
      <c r="W19">
        <v>3</v>
      </c>
      <c r="X19">
        <v>32.653061224489797</v>
      </c>
      <c r="AD19">
        <v>3</v>
      </c>
      <c r="AE19">
        <v>78.35337650323774</v>
      </c>
    </row>
    <row r="20" spans="1:33" x14ac:dyDescent="0.2">
      <c r="B20">
        <v>4</v>
      </c>
      <c r="C20">
        <v>76.623376623376629</v>
      </c>
      <c r="I20">
        <v>4</v>
      </c>
      <c r="J20">
        <v>23.943661971830984</v>
      </c>
      <c r="P20">
        <v>4</v>
      </c>
      <c r="Q20">
        <v>22.666666666666668</v>
      </c>
      <c r="W20">
        <v>4</v>
      </c>
      <c r="X20">
        <v>45.454545454545453</v>
      </c>
      <c r="AD20">
        <v>4</v>
      </c>
      <c r="AE20">
        <v>89.408866995073879</v>
      </c>
    </row>
    <row r="21" spans="1:33" x14ac:dyDescent="0.2">
      <c r="B21">
        <v>5</v>
      </c>
      <c r="C21">
        <v>73.333333333333329</v>
      </c>
      <c r="I21">
        <v>5</v>
      </c>
      <c r="J21">
        <v>27.906976744186046</v>
      </c>
      <c r="P21">
        <v>5</v>
      </c>
      <c r="Q21">
        <v>23.943661971830984</v>
      </c>
      <c r="W21">
        <v>5</v>
      </c>
      <c r="X21">
        <v>62.0026525198939</v>
      </c>
      <c r="AD21">
        <v>5</v>
      </c>
      <c r="AE21">
        <v>43.850931677018636</v>
      </c>
    </row>
    <row r="22" spans="1:33" x14ac:dyDescent="0.2">
      <c r="B22">
        <v>6</v>
      </c>
      <c r="C22">
        <v>4.3478260869565215</v>
      </c>
      <c r="I22">
        <v>6</v>
      </c>
      <c r="J22">
        <v>61.904761904761905</v>
      </c>
      <c r="P22">
        <v>6</v>
      </c>
      <c r="Q22">
        <v>28.94736842105263</v>
      </c>
      <c r="W22">
        <v>6</v>
      </c>
      <c r="X22">
        <v>74.867724867724874</v>
      </c>
      <c r="AD22">
        <v>6</v>
      </c>
      <c r="AE22">
        <v>53.154761904761905</v>
      </c>
    </row>
    <row r="23" spans="1:33" x14ac:dyDescent="0.2">
      <c r="B23">
        <v>7</v>
      </c>
      <c r="C23">
        <v>62.5</v>
      </c>
      <c r="I23">
        <v>7</v>
      </c>
      <c r="J23">
        <v>25</v>
      </c>
      <c r="P23">
        <v>7</v>
      </c>
      <c r="Q23">
        <v>46.835443037974684</v>
      </c>
      <c r="W23">
        <v>7</v>
      </c>
      <c r="X23">
        <v>58.234252466481152</v>
      </c>
      <c r="AD23">
        <v>7</v>
      </c>
      <c r="AE23">
        <v>75</v>
      </c>
    </row>
    <row r="24" spans="1:33" x14ac:dyDescent="0.2">
      <c r="B24">
        <v>8</v>
      </c>
      <c r="C24">
        <v>72.41379310344827</v>
      </c>
      <c r="I24">
        <v>8</v>
      </c>
      <c r="J24">
        <v>-0.78740157480314965</v>
      </c>
      <c r="P24">
        <v>8</v>
      </c>
      <c r="Q24">
        <v>25</v>
      </c>
      <c r="W24">
        <v>8</v>
      </c>
      <c r="X24">
        <v>58.689839572192511</v>
      </c>
      <c r="AD24">
        <v>8</v>
      </c>
      <c r="AE24">
        <v>46.666666666666671</v>
      </c>
    </row>
    <row r="25" spans="1:33" x14ac:dyDescent="0.2">
      <c r="B25">
        <v>9</v>
      </c>
      <c r="C25">
        <v>23.80952380952381</v>
      </c>
      <c r="I25">
        <v>9</v>
      </c>
      <c r="J25">
        <v>52.941176470588232</v>
      </c>
      <c r="P25">
        <v>9</v>
      </c>
      <c r="Q25">
        <v>40.659340659340657</v>
      </c>
      <c r="W25">
        <v>9</v>
      </c>
      <c r="X25">
        <v>76.508620689655174</v>
      </c>
      <c r="AD25">
        <v>9</v>
      </c>
      <c r="AE25">
        <v>75.441547518923471</v>
      </c>
    </row>
    <row r="26" spans="1:33" x14ac:dyDescent="0.2">
      <c r="B26">
        <v>10</v>
      </c>
      <c r="C26">
        <v>22.033898305084747</v>
      </c>
      <c r="I26">
        <v>10</v>
      </c>
      <c r="J26">
        <v>64.102564102564102</v>
      </c>
      <c r="P26">
        <v>10</v>
      </c>
      <c r="Q26">
        <v>38.70967741935484</v>
      </c>
      <c r="W26">
        <v>10</v>
      </c>
      <c r="X26">
        <v>72.044334975369452</v>
      </c>
      <c r="AD26">
        <v>10</v>
      </c>
      <c r="AE26">
        <v>48.63636363636364</v>
      </c>
    </row>
    <row r="27" spans="1:33" x14ac:dyDescent="0.2">
      <c r="B27">
        <v>11</v>
      </c>
      <c r="C27">
        <v>42.857142857142854</v>
      </c>
      <c r="I27">
        <v>11</v>
      </c>
      <c r="J27">
        <v>30.232558139534884</v>
      </c>
      <c r="P27">
        <v>11</v>
      </c>
      <c r="Q27">
        <v>34.883720930232556</v>
      </c>
      <c r="W27">
        <v>11</v>
      </c>
      <c r="X27">
        <v>62.508710801393732</v>
      </c>
      <c r="AD27">
        <v>11</v>
      </c>
      <c r="AE27">
        <v>52.727272727272727</v>
      </c>
    </row>
    <row r="28" spans="1:33" x14ac:dyDescent="0.2">
      <c r="B28">
        <v>12</v>
      </c>
      <c r="C28">
        <v>8.1967213114754092</v>
      </c>
      <c r="I28">
        <v>12</v>
      </c>
      <c r="J28">
        <v>13.043478260869565</v>
      </c>
      <c r="P28">
        <v>12</v>
      </c>
      <c r="Q28">
        <v>70.370370370370367</v>
      </c>
      <c r="W28">
        <v>12</v>
      </c>
      <c r="X28">
        <v>73.826979472140764</v>
      </c>
      <c r="AD28">
        <v>12</v>
      </c>
      <c r="AE28">
        <v>65.18518518518519</v>
      </c>
    </row>
    <row r="30" spans="1:33" x14ac:dyDescent="0.2">
      <c r="A30" t="s">
        <v>5</v>
      </c>
      <c r="B30" t="s">
        <v>1</v>
      </c>
      <c r="C30" t="s">
        <v>2</v>
      </c>
      <c r="D30" t="s">
        <v>4</v>
      </c>
      <c r="E30" t="s">
        <v>95</v>
      </c>
      <c r="H30" t="s">
        <v>5</v>
      </c>
      <c r="I30" t="s">
        <v>1</v>
      </c>
      <c r="J30" t="s">
        <v>2</v>
      </c>
      <c r="K30" t="s">
        <v>4</v>
      </c>
      <c r="L30" t="s">
        <v>95</v>
      </c>
      <c r="O30" t="s">
        <v>5</v>
      </c>
      <c r="P30" t="s">
        <v>1</v>
      </c>
      <c r="Q30" t="s">
        <v>2</v>
      </c>
      <c r="R30" t="s">
        <v>4</v>
      </c>
      <c r="S30" t="s">
        <v>95</v>
      </c>
      <c r="V30" t="s">
        <v>5</v>
      </c>
      <c r="W30" t="s">
        <v>1</v>
      </c>
      <c r="X30" t="s">
        <v>2</v>
      </c>
      <c r="Y30" t="s">
        <v>4</v>
      </c>
      <c r="Z30" t="s">
        <v>95</v>
      </c>
      <c r="AC30" t="s">
        <v>5</v>
      </c>
      <c r="AD30" t="s">
        <v>1</v>
      </c>
      <c r="AE30" t="s">
        <v>2</v>
      </c>
      <c r="AF30" t="s">
        <v>4</v>
      </c>
      <c r="AG30" t="s">
        <v>95</v>
      </c>
    </row>
    <row r="31" spans="1:33" ht="16" x14ac:dyDescent="0.25">
      <c r="A31" t="s">
        <v>59</v>
      </c>
      <c r="B31">
        <v>1</v>
      </c>
      <c r="C31">
        <v>24.590163934426229</v>
      </c>
      <c r="D31">
        <f>AVERAGE(C31:C42)</f>
        <v>44.862397783189891</v>
      </c>
      <c r="E31" s="4">
        <f>STDEV(C31:C42) /SQRT(COUNT(C31:C42))</f>
        <v>6.3983758605838936</v>
      </c>
      <c r="H31" t="s">
        <v>59</v>
      </c>
      <c r="I31">
        <v>1</v>
      </c>
      <c r="J31">
        <v>34.285714285714285</v>
      </c>
      <c r="K31">
        <v>27.197013997438315</v>
      </c>
      <c r="L31" s="4">
        <f>STDEV(J31:J42) /SQRT(COUNT(J31:J42))</f>
        <v>4.8009386623663861</v>
      </c>
      <c r="O31" t="s">
        <v>59</v>
      </c>
      <c r="P31">
        <v>1</v>
      </c>
      <c r="Q31">
        <v>48.571428571428569</v>
      </c>
      <c r="R31">
        <f>AVERAGE(Q31:Q42)</f>
        <v>32.942473499571115</v>
      </c>
      <c r="S31" s="4">
        <f>STDEV(Q31:Q42) /SQRT(COUNT(Q31:Q42))</f>
        <v>5.8297823578483445</v>
      </c>
      <c r="V31" t="s">
        <v>59</v>
      </c>
      <c r="W31">
        <v>1</v>
      </c>
      <c r="X31">
        <v>69.848484848484844</v>
      </c>
      <c r="Y31">
        <f>AVERAGE(X31:X42)</f>
        <v>55.020860734106037</v>
      </c>
      <c r="Z31" s="4">
        <f>STDEV(X31:X42) /SQRT(COUNT(X31:X42))</f>
        <v>3.7379319153503929</v>
      </c>
      <c r="AC31" t="s">
        <v>79</v>
      </c>
      <c r="AD31">
        <v>1</v>
      </c>
      <c r="AE31">
        <v>60.160965794768615</v>
      </c>
      <c r="AF31">
        <f>AVERAGE(AE31:AE42)</f>
        <v>61.086330982066748</v>
      </c>
      <c r="AG31" s="4">
        <f>STDEV(AE31:AE42) /SQRT(COUNT(AE31:AE42))</f>
        <v>4.2876895104837285</v>
      </c>
    </row>
    <row r="32" spans="1:33" x14ac:dyDescent="0.2">
      <c r="A32" t="s">
        <v>57</v>
      </c>
      <c r="B32">
        <v>2</v>
      </c>
      <c r="C32">
        <v>14.285714285714286</v>
      </c>
      <c r="H32" t="s">
        <v>57</v>
      </c>
      <c r="I32">
        <v>2</v>
      </c>
      <c r="J32">
        <v>25</v>
      </c>
      <c r="O32" t="s">
        <v>57</v>
      </c>
      <c r="P32">
        <v>2</v>
      </c>
      <c r="Q32">
        <v>11.428571428571429</v>
      </c>
      <c r="V32" t="s">
        <v>57</v>
      </c>
      <c r="W32">
        <v>2</v>
      </c>
      <c r="X32">
        <v>72.777777777777771</v>
      </c>
      <c r="AC32" t="s">
        <v>57</v>
      </c>
      <c r="AD32">
        <v>2</v>
      </c>
      <c r="AE32">
        <v>34.280303030303031</v>
      </c>
    </row>
    <row r="33" spans="1:33" x14ac:dyDescent="0.2">
      <c r="B33">
        <v>3</v>
      </c>
      <c r="C33">
        <v>73.333333333333329</v>
      </c>
      <c r="I33">
        <v>3</v>
      </c>
      <c r="J33">
        <v>37.777777777777779</v>
      </c>
      <c r="P33">
        <v>3</v>
      </c>
      <c r="Q33">
        <v>26.896551724137932</v>
      </c>
      <c r="W33">
        <v>3</v>
      </c>
      <c r="X33">
        <v>42.884170695816692</v>
      </c>
      <c r="AD33">
        <v>3</v>
      </c>
      <c r="AE33">
        <v>50.812567713976165</v>
      </c>
    </row>
    <row r="34" spans="1:33" x14ac:dyDescent="0.2">
      <c r="B34">
        <v>4</v>
      </c>
      <c r="C34">
        <v>68</v>
      </c>
      <c r="I34">
        <v>4</v>
      </c>
      <c r="J34">
        <v>13.043478260869565</v>
      </c>
      <c r="P34">
        <v>4</v>
      </c>
      <c r="Q34">
        <v>51.111111111111114</v>
      </c>
      <c r="W34">
        <v>4</v>
      </c>
      <c r="X34">
        <v>41.001855287569569</v>
      </c>
      <c r="AD34">
        <v>4</v>
      </c>
      <c r="AE34">
        <v>68.75</v>
      </c>
    </row>
    <row r="35" spans="1:33" x14ac:dyDescent="0.2">
      <c r="B35">
        <v>5</v>
      </c>
      <c r="C35">
        <v>20</v>
      </c>
      <c r="I35">
        <v>5</v>
      </c>
      <c r="J35">
        <v>5.785123966942149</v>
      </c>
      <c r="P35">
        <v>5</v>
      </c>
      <c r="Q35">
        <v>42.028985507246375</v>
      </c>
      <c r="W35">
        <v>5</v>
      </c>
      <c r="X35">
        <v>75.494350282485883</v>
      </c>
      <c r="AD35">
        <v>5</v>
      </c>
      <c r="AE35">
        <v>58.754208754208754</v>
      </c>
    </row>
    <row r="36" spans="1:33" x14ac:dyDescent="0.2">
      <c r="B36">
        <v>6</v>
      </c>
      <c r="C36">
        <v>41.176470588235297</v>
      </c>
      <c r="I36">
        <v>6</v>
      </c>
      <c r="J36">
        <v>23.636363636363637</v>
      </c>
      <c r="P36">
        <v>6</v>
      </c>
      <c r="Q36">
        <v>21.212121212121211</v>
      </c>
      <c r="W36">
        <v>6</v>
      </c>
      <c r="X36">
        <v>61.189189189189186</v>
      </c>
      <c r="AD36">
        <v>6</v>
      </c>
      <c r="AE36">
        <v>61.58925819942769</v>
      </c>
    </row>
    <row r="37" spans="1:33" x14ac:dyDescent="0.2">
      <c r="B37">
        <v>7</v>
      </c>
      <c r="C37">
        <v>38.46153846153846</v>
      </c>
      <c r="I37">
        <v>7</v>
      </c>
      <c r="J37">
        <v>16.666666666666668</v>
      </c>
      <c r="P37">
        <v>7</v>
      </c>
      <c r="Q37">
        <v>41.304347826086953</v>
      </c>
      <c r="W37">
        <v>7</v>
      </c>
      <c r="X37">
        <v>40.95838587641866</v>
      </c>
      <c r="AD37">
        <v>7</v>
      </c>
      <c r="AE37">
        <v>91.666666666666657</v>
      </c>
    </row>
    <row r="38" spans="1:33" x14ac:dyDescent="0.2">
      <c r="B38">
        <v>8</v>
      </c>
      <c r="C38">
        <v>15.942028985507246</v>
      </c>
      <c r="I38">
        <v>8</v>
      </c>
      <c r="J38">
        <v>23.636363636363637</v>
      </c>
      <c r="P38">
        <v>8</v>
      </c>
      <c r="Q38">
        <v>18.421052631578949</v>
      </c>
      <c r="W38">
        <v>8</v>
      </c>
      <c r="X38">
        <v>61.82889567874291</v>
      </c>
      <c r="AD38">
        <v>8</v>
      </c>
      <c r="AE38">
        <v>66.666666666666671</v>
      </c>
    </row>
    <row r="39" spans="1:33" x14ac:dyDescent="0.2">
      <c r="B39">
        <v>9</v>
      </c>
      <c r="C39">
        <v>62.5</v>
      </c>
      <c r="I39">
        <v>9</v>
      </c>
      <c r="J39">
        <v>61.111111111111114</v>
      </c>
      <c r="P39">
        <v>9</v>
      </c>
      <c r="Q39">
        <v>14.705882352941176</v>
      </c>
      <c r="W39">
        <v>9</v>
      </c>
      <c r="X39">
        <v>51.424501424501429</v>
      </c>
      <c r="AD39">
        <v>9</v>
      </c>
      <c r="AE39">
        <v>72.129629629629633</v>
      </c>
    </row>
    <row r="40" spans="1:33" x14ac:dyDescent="0.2">
      <c r="B40">
        <v>10</v>
      </c>
      <c r="C40">
        <v>52.38095238095238</v>
      </c>
      <c r="I40">
        <v>10</v>
      </c>
      <c r="J40">
        <v>3.9215686274509802</v>
      </c>
      <c r="P40">
        <v>10</v>
      </c>
      <c r="Q40">
        <v>22.962962962962962</v>
      </c>
      <c r="W40">
        <v>10</v>
      </c>
      <c r="X40">
        <v>40.681003584229387</v>
      </c>
      <c r="AD40">
        <v>10</v>
      </c>
      <c r="AE40">
        <v>71.770334928229659</v>
      </c>
    </row>
    <row r="41" spans="1:33" x14ac:dyDescent="0.2">
      <c r="B41">
        <v>11</v>
      </c>
      <c r="C41">
        <v>71.428571428571431</v>
      </c>
      <c r="I41">
        <v>11</v>
      </c>
      <c r="J41">
        <v>44</v>
      </c>
      <c r="P41">
        <v>11</v>
      </c>
      <c r="Q41">
        <v>16.666666666666668</v>
      </c>
      <c r="W41">
        <v>11</v>
      </c>
      <c r="X41">
        <v>53.763800602208093</v>
      </c>
      <c r="AD41">
        <v>11</v>
      </c>
      <c r="AE41">
        <v>49.684210526315795</v>
      </c>
    </row>
    <row r="42" spans="1:33" x14ac:dyDescent="0.2">
      <c r="B42">
        <v>12</v>
      </c>
      <c r="C42">
        <v>56.25</v>
      </c>
      <c r="I42">
        <v>12</v>
      </c>
      <c r="J42">
        <v>37.5</v>
      </c>
      <c r="P42">
        <v>12</v>
      </c>
      <c r="Q42">
        <v>80</v>
      </c>
      <c r="W42">
        <v>12</v>
      </c>
      <c r="X42">
        <v>48.397913561847986</v>
      </c>
      <c r="AD42">
        <v>12</v>
      </c>
      <c r="AE42">
        <v>46.771159874608152</v>
      </c>
    </row>
    <row r="44" spans="1:33" x14ac:dyDescent="0.2">
      <c r="A44" t="s">
        <v>61</v>
      </c>
      <c r="B44" t="s">
        <v>1</v>
      </c>
      <c r="C44" t="s">
        <v>2</v>
      </c>
      <c r="D44" t="s">
        <v>4</v>
      </c>
      <c r="E44" t="s">
        <v>95</v>
      </c>
      <c r="H44" t="s">
        <v>61</v>
      </c>
      <c r="I44" t="s">
        <v>1</v>
      </c>
      <c r="J44" t="s">
        <v>2</v>
      </c>
      <c r="K44" t="s">
        <v>4</v>
      </c>
      <c r="L44" t="s">
        <v>95</v>
      </c>
      <c r="O44" t="s">
        <v>61</v>
      </c>
      <c r="P44" t="s">
        <v>1</v>
      </c>
      <c r="Q44" t="s">
        <v>2</v>
      </c>
      <c r="R44" t="s">
        <v>4</v>
      </c>
      <c r="S44" t="s">
        <v>95</v>
      </c>
      <c r="V44" t="s">
        <v>61</v>
      </c>
      <c r="W44" t="s">
        <v>1</v>
      </c>
      <c r="X44" t="s">
        <v>2</v>
      </c>
      <c r="Y44" t="s">
        <v>4</v>
      </c>
      <c r="Z44" t="s">
        <v>95</v>
      </c>
      <c r="AC44" t="s">
        <v>61</v>
      </c>
      <c r="AD44" t="s">
        <v>1</v>
      </c>
      <c r="AE44" t="s">
        <v>2</v>
      </c>
      <c r="AF44" t="s">
        <v>4</v>
      </c>
      <c r="AG44" t="s">
        <v>95</v>
      </c>
    </row>
    <row r="45" spans="1:33" ht="16" x14ac:dyDescent="0.25">
      <c r="A45" t="s">
        <v>32</v>
      </c>
      <c r="B45">
        <v>1</v>
      </c>
      <c r="C45">
        <v>33.333333333333336</v>
      </c>
      <c r="D45">
        <f>AVERAGE(C45:C56)</f>
        <v>39.187089357333001</v>
      </c>
      <c r="E45" s="4">
        <f>STDEV(C45:C56) /SQRT(COUNT(C45:C56))</f>
        <v>6.1425080561617094</v>
      </c>
      <c r="H45" t="s">
        <v>32</v>
      </c>
      <c r="I45">
        <v>1</v>
      </c>
      <c r="J45">
        <v>31.914893617021278</v>
      </c>
      <c r="K45">
        <f>AVERAGE(J45:J56)</f>
        <v>29.160085301167186</v>
      </c>
      <c r="L45" s="4">
        <f>STDEV(J45:J56) /SQRT(COUNT(J45:J56))</f>
        <v>5.3597931335238025</v>
      </c>
      <c r="O45" t="s">
        <v>32</v>
      </c>
      <c r="P45">
        <v>1</v>
      </c>
      <c r="Q45">
        <v>77.272727272727266</v>
      </c>
      <c r="R45">
        <f>AVERAGE(Q45:Q56)</f>
        <v>52.544905860626045</v>
      </c>
      <c r="S45" s="4">
        <f>STDEV(Q45:Q56) /SQRT(COUNT(Q45:Q56))</f>
        <v>5.3674846441112054</v>
      </c>
      <c r="V45" t="s">
        <v>32</v>
      </c>
      <c r="W45">
        <v>1</v>
      </c>
      <c r="X45">
        <v>68.547008547008545</v>
      </c>
      <c r="Y45">
        <f>AVERAGE(X45:X56)</f>
        <v>66.117554237448445</v>
      </c>
      <c r="Z45" s="4">
        <f>STDEV(X45:X56) /SQRT(COUNT(X45:X56))</f>
        <v>2.9508584030839531</v>
      </c>
      <c r="AC45" t="s">
        <v>32</v>
      </c>
      <c r="AD45">
        <v>1</v>
      </c>
      <c r="AE45">
        <v>76.797552269250389</v>
      </c>
      <c r="AF45">
        <f>AVERAGE(AE45:AE56)</f>
        <v>77.079697305177049</v>
      </c>
      <c r="AG45" s="4">
        <f>STDEV(AE45:AE56) /SQRT(COUNT(AE45:AE56))</f>
        <v>3.6997839515171544</v>
      </c>
    </row>
    <row r="46" spans="1:33" x14ac:dyDescent="0.2">
      <c r="A46" t="s">
        <v>60</v>
      </c>
      <c r="B46">
        <v>2</v>
      </c>
      <c r="C46">
        <v>21.739130434782609</v>
      </c>
      <c r="H46" t="s">
        <v>60</v>
      </c>
      <c r="I46">
        <v>2</v>
      </c>
      <c r="J46">
        <v>-5.0359712230215825</v>
      </c>
      <c r="O46" t="s">
        <v>60</v>
      </c>
      <c r="P46">
        <v>2</v>
      </c>
      <c r="Q46">
        <v>65.853658536585371</v>
      </c>
      <c r="V46" t="s">
        <v>60</v>
      </c>
      <c r="W46">
        <v>2</v>
      </c>
      <c r="X46">
        <v>81.481481481481481</v>
      </c>
      <c r="AC46" t="s">
        <v>60</v>
      </c>
      <c r="AD46">
        <v>2</v>
      </c>
      <c r="AE46">
        <v>58.990357345433921</v>
      </c>
    </row>
    <row r="47" spans="1:33" x14ac:dyDescent="0.2">
      <c r="B47">
        <v>3</v>
      </c>
      <c r="C47">
        <v>53.846153846153847</v>
      </c>
      <c r="I47">
        <v>3</v>
      </c>
      <c r="J47">
        <v>35</v>
      </c>
      <c r="P47">
        <v>3</v>
      </c>
      <c r="Q47">
        <v>55.844155844155843</v>
      </c>
      <c r="W47">
        <v>3</v>
      </c>
      <c r="X47">
        <v>76.666666666666657</v>
      </c>
      <c r="AD47">
        <v>3</v>
      </c>
      <c r="AE47">
        <v>81.697054698457222</v>
      </c>
    </row>
    <row r="48" spans="1:33" x14ac:dyDescent="0.2">
      <c r="B48">
        <v>4</v>
      </c>
      <c r="C48">
        <v>35.294117647058826</v>
      </c>
      <c r="I48">
        <v>4</v>
      </c>
      <c r="J48">
        <v>22.857142857142858</v>
      </c>
      <c r="P48">
        <v>4</v>
      </c>
      <c r="Q48">
        <v>47.826086956521742</v>
      </c>
      <c r="W48">
        <v>4</v>
      </c>
      <c r="X48">
        <v>72.564102564102569</v>
      </c>
      <c r="AD48">
        <v>4</v>
      </c>
      <c r="AE48">
        <v>66.443701226309926</v>
      </c>
    </row>
    <row r="49" spans="1:33" x14ac:dyDescent="0.2">
      <c r="B49">
        <v>5</v>
      </c>
      <c r="C49">
        <v>57.142857142857146</v>
      </c>
      <c r="I49">
        <v>5</v>
      </c>
      <c r="J49">
        <v>14.634146341463415</v>
      </c>
      <c r="P49">
        <v>5</v>
      </c>
      <c r="Q49">
        <v>65.853658536585371</v>
      </c>
      <c r="W49">
        <v>5</v>
      </c>
      <c r="X49">
        <v>61.150070126227213</v>
      </c>
      <c r="AD49">
        <v>5</v>
      </c>
      <c r="AE49">
        <v>84.541062801932355</v>
      </c>
    </row>
    <row r="50" spans="1:33" x14ac:dyDescent="0.2">
      <c r="B50">
        <v>6</v>
      </c>
      <c r="C50">
        <v>20</v>
      </c>
      <c r="I50">
        <v>6</v>
      </c>
      <c r="J50">
        <v>17.948717948717949</v>
      </c>
      <c r="P50">
        <v>6</v>
      </c>
      <c r="Q50">
        <v>50</v>
      </c>
      <c r="W50">
        <v>6</v>
      </c>
      <c r="X50">
        <v>44.74747474747474</v>
      </c>
      <c r="AD50">
        <v>6</v>
      </c>
      <c r="AE50">
        <v>54.238618524332807</v>
      </c>
    </row>
    <row r="51" spans="1:33" x14ac:dyDescent="0.2">
      <c r="B51">
        <v>7</v>
      </c>
      <c r="C51">
        <v>46.067415730337082</v>
      </c>
      <c r="I51">
        <v>7</v>
      </c>
      <c r="J51">
        <v>47.058823529411768</v>
      </c>
      <c r="P51">
        <v>7</v>
      </c>
      <c r="Q51">
        <v>9.5238095238095237</v>
      </c>
      <c r="W51">
        <v>7</v>
      </c>
      <c r="X51">
        <v>72.747747747747752</v>
      </c>
      <c r="AD51">
        <v>7</v>
      </c>
      <c r="AE51">
        <v>89.976958525345623</v>
      </c>
    </row>
    <row r="52" spans="1:33" x14ac:dyDescent="0.2">
      <c r="B52">
        <v>8</v>
      </c>
      <c r="C52">
        <v>28.35820895522388</v>
      </c>
      <c r="I52">
        <v>8</v>
      </c>
      <c r="J52">
        <v>51.351351351351354</v>
      </c>
      <c r="P52">
        <v>8</v>
      </c>
      <c r="Q52">
        <v>44.827586206896555</v>
      </c>
      <c r="W52">
        <v>8</v>
      </c>
      <c r="X52">
        <v>54.516129032258064</v>
      </c>
      <c r="AD52">
        <v>8</v>
      </c>
      <c r="AE52">
        <v>81.428571428571431</v>
      </c>
    </row>
    <row r="53" spans="1:33" x14ac:dyDescent="0.2">
      <c r="B53">
        <v>9</v>
      </c>
      <c r="C53">
        <v>20</v>
      </c>
      <c r="I53">
        <v>9</v>
      </c>
      <c r="J53">
        <v>30</v>
      </c>
      <c r="P53">
        <v>9</v>
      </c>
      <c r="Q53">
        <v>34.782608695652172</v>
      </c>
      <c r="W53">
        <v>9</v>
      </c>
      <c r="X53">
        <v>61.818181818181813</v>
      </c>
      <c r="AD53">
        <v>9</v>
      </c>
      <c r="AE53">
        <v>85.930735930735921</v>
      </c>
    </row>
    <row r="54" spans="1:33" x14ac:dyDescent="0.2">
      <c r="B54">
        <v>10</v>
      </c>
      <c r="C54">
        <v>13.953488372093023</v>
      </c>
      <c r="I54">
        <v>10</v>
      </c>
      <c r="J54">
        <v>15.555555555555555</v>
      </c>
      <c r="P54">
        <v>10</v>
      </c>
      <c r="Q54">
        <v>66.666666666666671</v>
      </c>
      <c r="W54">
        <v>10</v>
      </c>
      <c r="X54">
        <v>63.333333333333336</v>
      </c>
      <c r="AD54">
        <v>10</v>
      </c>
      <c r="AE54">
        <v>82.307692307692307</v>
      </c>
    </row>
    <row r="55" spans="1:33" x14ac:dyDescent="0.2">
      <c r="B55">
        <v>11</v>
      </c>
      <c r="C55">
        <v>87.878787878787875</v>
      </c>
      <c r="I55">
        <v>11</v>
      </c>
      <c r="J55">
        <v>63.636363636363633</v>
      </c>
      <c r="P55">
        <v>11</v>
      </c>
      <c r="Q55">
        <v>69.230769230769226</v>
      </c>
      <c r="W55">
        <v>11</v>
      </c>
      <c r="X55">
        <v>73.485513608428448</v>
      </c>
      <c r="AD55">
        <v>11</v>
      </c>
      <c r="AE55">
        <v>66.450216450216445</v>
      </c>
    </row>
    <row r="56" spans="1:33" x14ac:dyDescent="0.2">
      <c r="B56">
        <v>12</v>
      </c>
      <c r="C56">
        <v>52.631578947368418</v>
      </c>
      <c r="I56">
        <v>12</v>
      </c>
      <c r="J56">
        <v>25</v>
      </c>
      <c r="P56">
        <v>12</v>
      </c>
      <c r="Q56">
        <v>42.857142857142854</v>
      </c>
      <c r="W56">
        <v>12</v>
      </c>
      <c r="X56">
        <v>62.352941176470587</v>
      </c>
      <c r="AD56">
        <v>12</v>
      </c>
      <c r="AE56">
        <v>96.15384615384616</v>
      </c>
    </row>
    <row r="58" spans="1:33" x14ac:dyDescent="0.2">
      <c r="A58" t="s">
        <v>3</v>
      </c>
      <c r="B58" t="s">
        <v>1</v>
      </c>
      <c r="C58" t="s">
        <v>2</v>
      </c>
      <c r="D58" t="s">
        <v>4</v>
      </c>
      <c r="E58" t="s">
        <v>95</v>
      </c>
      <c r="H58" t="s">
        <v>3</v>
      </c>
      <c r="I58" t="s">
        <v>1</v>
      </c>
      <c r="J58" t="s">
        <v>2</v>
      </c>
      <c r="K58" t="s">
        <v>4</v>
      </c>
      <c r="L58" t="s">
        <v>95</v>
      </c>
      <c r="O58" t="s">
        <v>3</v>
      </c>
      <c r="P58" t="s">
        <v>1</v>
      </c>
      <c r="Q58" t="s">
        <v>2</v>
      </c>
      <c r="R58" t="s">
        <v>4</v>
      </c>
      <c r="S58" t="s">
        <v>95</v>
      </c>
      <c r="V58" t="s">
        <v>3</v>
      </c>
      <c r="W58" t="s">
        <v>1</v>
      </c>
      <c r="X58" t="s">
        <v>2</v>
      </c>
      <c r="Y58" t="s">
        <v>4</v>
      </c>
      <c r="Z58" t="s">
        <v>95</v>
      </c>
      <c r="AC58" t="s">
        <v>3</v>
      </c>
      <c r="AD58" t="s">
        <v>1</v>
      </c>
      <c r="AE58" t="s">
        <v>2</v>
      </c>
      <c r="AF58" t="s">
        <v>4</v>
      </c>
      <c r="AG58" t="s">
        <v>95</v>
      </c>
    </row>
    <row r="59" spans="1:33" ht="16" x14ac:dyDescent="0.25">
      <c r="A59" t="s">
        <v>58</v>
      </c>
      <c r="B59">
        <v>1</v>
      </c>
      <c r="C59">
        <v>62.025316455696199</v>
      </c>
      <c r="D59">
        <f>AVERAGE(C59:C70)</f>
        <v>45.140680531122655</v>
      </c>
      <c r="E59" s="4">
        <f>STDEV(C59:C70) /SQRT(COUNT(C59:C70))</f>
        <v>6.6008770246510329</v>
      </c>
      <c r="H59" t="s">
        <v>58</v>
      </c>
      <c r="I59">
        <v>1</v>
      </c>
      <c r="J59">
        <v>46.666666666666664</v>
      </c>
      <c r="K59">
        <f>AVERAGE(J59:J70)</f>
        <v>20.316188919647736</v>
      </c>
      <c r="L59" s="4">
        <f>STDEV(J59:J70) /SQRT(COUNT(J59:J70))</f>
        <v>6.1472254820575429</v>
      </c>
      <c r="O59" t="s">
        <v>58</v>
      </c>
      <c r="P59">
        <v>1</v>
      </c>
      <c r="Q59">
        <v>41.935483870967744</v>
      </c>
      <c r="R59">
        <f>AVERAGE(Q59:Q70)</f>
        <v>31.50451426276825</v>
      </c>
      <c r="S59" s="4">
        <f>STDEV(Q59:Q70) /SQRT(COUNT(Q59:Q70))</f>
        <v>5.2014487870986867</v>
      </c>
      <c r="V59" t="s">
        <v>58</v>
      </c>
      <c r="W59">
        <v>1</v>
      </c>
      <c r="X59">
        <v>37.121212121212125</v>
      </c>
      <c r="Y59">
        <f>AVERAGE(X59:X70)</f>
        <v>53.134699336602921</v>
      </c>
      <c r="Z59" s="4">
        <f>STDEV(X59:X70) /SQRT(COUNT(X59:X70))</f>
        <v>5.2489596458694834</v>
      </c>
      <c r="AC59" t="s">
        <v>78</v>
      </c>
      <c r="AD59">
        <v>1</v>
      </c>
      <c r="AE59">
        <v>46.666666666666671</v>
      </c>
      <c r="AF59">
        <f>AVERAGE(AE59:AE70)</f>
        <v>70.179525929624006</v>
      </c>
      <c r="AG59" s="4">
        <f>STDEV(AE59:AE70) /SQRT(COUNT(AE59:AE70))</f>
        <v>5.2768088843304195</v>
      </c>
    </row>
    <row r="60" spans="1:33" ht="16" x14ac:dyDescent="0.25">
      <c r="A60" t="s">
        <v>60</v>
      </c>
      <c r="B60">
        <v>2</v>
      </c>
      <c r="C60">
        <v>27.5</v>
      </c>
      <c r="H60" t="s">
        <v>60</v>
      </c>
      <c r="I60">
        <v>2</v>
      </c>
      <c r="J60">
        <v>0</v>
      </c>
      <c r="L60" s="4"/>
      <c r="O60" t="s">
        <v>60</v>
      </c>
      <c r="P60">
        <v>2</v>
      </c>
      <c r="Q60">
        <v>17.073170731707318</v>
      </c>
      <c r="V60" t="s">
        <v>60</v>
      </c>
      <c r="W60">
        <v>2</v>
      </c>
      <c r="X60">
        <v>60.684002261164508</v>
      </c>
      <c r="AC60" t="s">
        <v>60</v>
      </c>
      <c r="AD60">
        <v>2</v>
      </c>
      <c r="AE60">
        <v>86.642857142857139</v>
      </c>
    </row>
    <row r="61" spans="1:33" x14ac:dyDescent="0.2">
      <c r="B61">
        <v>3</v>
      </c>
      <c r="C61">
        <v>68.421052631578945</v>
      </c>
      <c r="I61">
        <v>3</v>
      </c>
      <c r="J61">
        <v>13.888888888888889</v>
      </c>
      <c r="P61">
        <v>3</v>
      </c>
      <c r="Q61">
        <v>23.943661971830984</v>
      </c>
      <c r="W61">
        <v>3</v>
      </c>
      <c r="X61">
        <v>40.166481687014425</v>
      </c>
      <c r="AD61">
        <v>3</v>
      </c>
      <c r="AE61">
        <v>52.583586626139819</v>
      </c>
    </row>
    <row r="62" spans="1:33" x14ac:dyDescent="0.2">
      <c r="B62">
        <v>4</v>
      </c>
      <c r="C62">
        <v>22.580645161290324</v>
      </c>
      <c r="I62">
        <v>4</v>
      </c>
      <c r="J62">
        <v>10.416666666666666</v>
      </c>
      <c r="P62">
        <v>4</v>
      </c>
      <c r="Q62">
        <v>25</v>
      </c>
      <c r="W62">
        <v>4</v>
      </c>
      <c r="X62">
        <v>34.374169545575342</v>
      </c>
      <c r="AD62">
        <v>4</v>
      </c>
      <c r="AE62">
        <v>51.587301587301589</v>
      </c>
    </row>
    <row r="63" spans="1:33" x14ac:dyDescent="0.2">
      <c r="B63">
        <v>5</v>
      </c>
      <c r="C63">
        <v>41.666666666666664</v>
      </c>
      <c r="I63">
        <v>5</v>
      </c>
      <c r="J63">
        <v>4.6875</v>
      </c>
      <c r="P63">
        <v>5</v>
      </c>
      <c r="Q63">
        <v>13.513513513513514</v>
      </c>
      <c r="W63">
        <v>5</v>
      </c>
      <c r="X63">
        <v>37.530266343825666</v>
      </c>
      <c r="AD63">
        <v>5</v>
      </c>
      <c r="AE63">
        <v>76.935483870967744</v>
      </c>
    </row>
    <row r="64" spans="1:33" x14ac:dyDescent="0.2">
      <c r="B64">
        <v>6</v>
      </c>
      <c r="C64">
        <v>66.666666666666671</v>
      </c>
      <c r="I64">
        <v>6</v>
      </c>
      <c r="J64">
        <v>-9.0909090909090917</v>
      </c>
      <c r="P64">
        <v>6</v>
      </c>
      <c r="Q64">
        <v>10.869565217391305</v>
      </c>
      <c r="W64">
        <v>6</v>
      </c>
      <c r="X64">
        <v>25.017470300489165</v>
      </c>
      <c r="AD64">
        <v>6</v>
      </c>
      <c r="AE64">
        <v>85.411140583554385</v>
      </c>
    </row>
    <row r="65" spans="1:33" x14ac:dyDescent="0.2">
      <c r="B65">
        <v>7</v>
      </c>
      <c r="C65">
        <v>58.064516129032256</v>
      </c>
      <c r="I65">
        <v>7</v>
      </c>
      <c r="J65">
        <v>21.311475409836067</v>
      </c>
      <c r="P65">
        <v>7</v>
      </c>
      <c r="Q65">
        <v>23.076923076923077</v>
      </c>
      <c r="W65">
        <v>7</v>
      </c>
      <c r="X65">
        <v>49.724208375893767</v>
      </c>
      <c r="AD65">
        <v>7</v>
      </c>
      <c r="AE65">
        <v>84.461538461538453</v>
      </c>
    </row>
    <row r="66" spans="1:33" x14ac:dyDescent="0.2">
      <c r="B66">
        <v>8</v>
      </c>
      <c r="C66">
        <v>71.428571428571431</v>
      </c>
      <c r="I66">
        <v>8</v>
      </c>
      <c r="J66">
        <v>22.580645161290324</v>
      </c>
      <c r="P66">
        <v>8</v>
      </c>
      <c r="Q66">
        <v>16.129032258064516</v>
      </c>
      <c r="W66">
        <v>8</v>
      </c>
      <c r="X66">
        <v>77.777777777777771</v>
      </c>
      <c r="AD66">
        <v>8</v>
      </c>
      <c r="AE66">
        <v>78.116710875331563</v>
      </c>
    </row>
    <row r="67" spans="1:33" x14ac:dyDescent="0.2">
      <c r="B67">
        <v>9</v>
      </c>
      <c r="C67">
        <v>49.152542372881356</v>
      </c>
      <c r="I67">
        <v>9</v>
      </c>
      <c r="J67">
        <v>8.9285714285714288</v>
      </c>
      <c r="P67">
        <v>9</v>
      </c>
      <c r="Q67">
        <v>36</v>
      </c>
      <c r="W67">
        <v>9</v>
      </c>
      <c r="X67">
        <v>80</v>
      </c>
      <c r="AD67">
        <v>9</v>
      </c>
      <c r="AE67">
        <v>87.5</v>
      </c>
    </row>
    <row r="68" spans="1:33" x14ac:dyDescent="0.2">
      <c r="B68">
        <v>10</v>
      </c>
      <c r="C68">
        <v>15.596330275229358</v>
      </c>
      <c r="I68">
        <v>10</v>
      </c>
      <c r="J68">
        <v>47.5</v>
      </c>
      <c r="P68">
        <v>10</v>
      </c>
      <c r="Q68">
        <v>66.666666666666671</v>
      </c>
      <c r="W68">
        <v>10</v>
      </c>
      <c r="X68">
        <v>65.134328358208961</v>
      </c>
      <c r="AD68">
        <v>10</v>
      </c>
      <c r="AE68">
        <v>91.296296296296305</v>
      </c>
    </row>
    <row r="69" spans="1:33" x14ac:dyDescent="0.2">
      <c r="B69">
        <v>11</v>
      </c>
      <c r="C69">
        <v>55.555555555555557</v>
      </c>
      <c r="I69">
        <v>11</v>
      </c>
      <c r="J69">
        <v>15</v>
      </c>
      <c r="P69">
        <v>11</v>
      </c>
      <c r="Q69">
        <v>53.846153846153847</v>
      </c>
      <c r="W69">
        <v>11</v>
      </c>
      <c r="X69">
        <v>64.372189553787621</v>
      </c>
      <c r="AD69">
        <v>11</v>
      </c>
      <c r="AE69">
        <v>58.518518518518519</v>
      </c>
    </row>
    <row r="70" spans="1:33" x14ac:dyDescent="0.2">
      <c r="B70">
        <v>12</v>
      </c>
      <c r="C70">
        <v>3.0303030303030303</v>
      </c>
      <c r="I70">
        <v>12</v>
      </c>
      <c r="J70">
        <v>61.904761904761905</v>
      </c>
      <c r="P70">
        <v>12</v>
      </c>
      <c r="Q70">
        <v>50</v>
      </c>
      <c r="W70">
        <v>12</v>
      </c>
      <c r="X70">
        <v>65.714285714285722</v>
      </c>
      <c r="AD70">
        <v>12</v>
      </c>
      <c r="AE70">
        <v>42.434210526315795</v>
      </c>
    </row>
    <row r="72" spans="1:33" x14ac:dyDescent="0.2">
      <c r="A72" t="s">
        <v>5</v>
      </c>
      <c r="B72" t="s">
        <v>1</v>
      </c>
      <c r="C72" t="s">
        <v>2</v>
      </c>
      <c r="D72" t="s">
        <v>4</v>
      </c>
      <c r="E72" t="s">
        <v>95</v>
      </c>
      <c r="H72" t="s">
        <v>5</v>
      </c>
      <c r="I72" t="s">
        <v>1</v>
      </c>
      <c r="J72" t="s">
        <v>2</v>
      </c>
      <c r="K72" t="s">
        <v>4</v>
      </c>
      <c r="L72" t="s">
        <v>95</v>
      </c>
      <c r="O72" t="s">
        <v>5</v>
      </c>
      <c r="P72" t="s">
        <v>1</v>
      </c>
      <c r="Q72" t="s">
        <v>2</v>
      </c>
      <c r="R72" t="s">
        <v>4</v>
      </c>
      <c r="S72" t="s">
        <v>95</v>
      </c>
      <c r="V72" t="s">
        <v>5</v>
      </c>
      <c r="W72" t="s">
        <v>1</v>
      </c>
      <c r="X72" t="s">
        <v>2</v>
      </c>
      <c r="Y72" t="s">
        <v>4</v>
      </c>
      <c r="Z72" t="s">
        <v>95</v>
      </c>
      <c r="AC72" t="s">
        <v>5</v>
      </c>
      <c r="AD72" t="s">
        <v>1</v>
      </c>
      <c r="AE72" t="s">
        <v>2</v>
      </c>
      <c r="AF72" t="s">
        <v>4</v>
      </c>
      <c r="AG72" t="s">
        <v>95</v>
      </c>
    </row>
    <row r="73" spans="1:33" ht="16" x14ac:dyDescent="0.25">
      <c r="A73" t="s">
        <v>59</v>
      </c>
      <c r="B73">
        <v>1</v>
      </c>
      <c r="C73">
        <v>68.181818181818187</v>
      </c>
      <c r="D73">
        <f>AVERAGE(C73:C84)</f>
        <v>34.764203966776257</v>
      </c>
      <c r="E73" s="4">
        <f>STDEV(C73:C84) /SQRT(COUNT(C73:C84))</f>
        <v>6.0124329754138071</v>
      </c>
      <c r="H73" t="s">
        <v>59</v>
      </c>
      <c r="I73">
        <v>1</v>
      </c>
      <c r="J73">
        <v>8.695652173913043</v>
      </c>
      <c r="K73">
        <f>AVERAGE(J73:J84)</f>
        <v>29.064361043700458</v>
      </c>
      <c r="L73" s="4">
        <f>STDEV(J73:J84) /SQRT(COUNT(J73:J84))</f>
        <v>7.1677097283763445</v>
      </c>
      <c r="O73" t="s">
        <v>59</v>
      </c>
      <c r="P73">
        <v>1</v>
      </c>
      <c r="Q73">
        <v>24.137931034482758</v>
      </c>
      <c r="R73">
        <f>AVERAGE(Q73:Q84)</f>
        <v>44.453945202487894</v>
      </c>
      <c r="S73" s="4">
        <f>STDEV(Q73:Q84) /SQRT(COUNT(Q73:Q84))</f>
        <v>4.4922430485750731</v>
      </c>
      <c r="V73" t="s">
        <v>59</v>
      </c>
      <c r="W73">
        <v>1</v>
      </c>
      <c r="X73">
        <v>54.834347532116297</v>
      </c>
      <c r="Y73">
        <f>AVERAGE(X73:X84)</f>
        <v>51.338579452661328</v>
      </c>
      <c r="Z73" s="4">
        <f>STDEV(X73:X84) /SQRT(COUNT(X73:X84))</f>
        <v>5.5166624322655835</v>
      </c>
      <c r="AC73" t="s">
        <v>79</v>
      </c>
      <c r="AD73">
        <v>1</v>
      </c>
      <c r="AE73">
        <v>78</v>
      </c>
      <c r="AF73">
        <f>AVERAGE(AE73:AE84)</f>
        <v>72.557292961808244</v>
      </c>
      <c r="AG73" s="4">
        <f>STDEV(AE73:AE84) /SQRT(COUNT(AE73:AE84))</f>
        <v>4.2236694657448135</v>
      </c>
    </row>
    <row r="74" spans="1:33" x14ac:dyDescent="0.2">
      <c r="A74" t="s">
        <v>60</v>
      </c>
      <c r="B74">
        <v>2</v>
      </c>
      <c r="C74">
        <v>17.1875</v>
      </c>
      <c r="H74" t="s">
        <v>60</v>
      </c>
      <c r="I74">
        <v>2</v>
      </c>
      <c r="J74">
        <v>1.7543859649122806</v>
      </c>
      <c r="O74" t="s">
        <v>60</v>
      </c>
      <c r="P74">
        <v>2</v>
      </c>
      <c r="Q74">
        <v>55.555555555555557</v>
      </c>
      <c r="V74" t="s">
        <v>60</v>
      </c>
      <c r="W74">
        <v>2</v>
      </c>
      <c r="X74">
        <v>52.539682539682538</v>
      </c>
      <c r="AC74" t="s">
        <v>60</v>
      </c>
      <c r="AD74">
        <v>2</v>
      </c>
      <c r="AE74">
        <v>59.167950693374422</v>
      </c>
    </row>
    <row r="75" spans="1:33" x14ac:dyDescent="0.2">
      <c r="B75">
        <v>3</v>
      </c>
      <c r="C75">
        <v>36.956521739130437</v>
      </c>
      <c r="I75">
        <v>3</v>
      </c>
      <c r="J75">
        <v>31.818181818181817</v>
      </c>
      <c r="P75">
        <v>3</v>
      </c>
      <c r="Q75">
        <v>25</v>
      </c>
      <c r="W75">
        <v>3</v>
      </c>
      <c r="X75">
        <v>71.176470588235304</v>
      </c>
      <c r="AD75">
        <v>3</v>
      </c>
      <c r="AE75">
        <v>62.58169934640523</v>
      </c>
    </row>
    <row r="76" spans="1:33" x14ac:dyDescent="0.2">
      <c r="B76">
        <v>4</v>
      </c>
      <c r="C76">
        <v>5.1546391752577323</v>
      </c>
      <c r="I76">
        <v>4</v>
      </c>
      <c r="J76">
        <v>19.148936170212767</v>
      </c>
      <c r="P76">
        <v>4</v>
      </c>
      <c r="Q76">
        <v>26.530612244897959</v>
      </c>
      <c r="W76">
        <v>4</v>
      </c>
      <c r="X76">
        <v>68.990384615384613</v>
      </c>
      <c r="AD76">
        <v>4</v>
      </c>
      <c r="AE76">
        <v>79.813664596273298</v>
      </c>
    </row>
    <row r="77" spans="1:33" x14ac:dyDescent="0.2">
      <c r="B77">
        <v>5</v>
      </c>
      <c r="C77">
        <v>14.285714285714286</v>
      </c>
      <c r="I77">
        <v>5</v>
      </c>
      <c r="J77">
        <v>8.9285714285714288</v>
      </c>
      <c r="P77">
        <v>5</v>
      </c>
      <c r="Q77">
        <v>59.090909090909093</v>
      </c>
      <c r="W77">
        <v>5</v>
      </c>
      <c r="X77">
        <v>54.670830080666143</v>
      </c>
      <c r="AD77">
        <v>5</v>
      </c>
      <c r="AE77">
        <v>62.5</v>
      </c>
    </row>
    <row r="78" spans="1:33" x14ac:dyDescent="0.2">
      <c r="B78">
        <v>6</v>
      </c>
      <c r="C78">
        <v>62.962962962962962</v>
      </c>
      <c r="I78">
        <v>6</v>
      </c>
      <c r="J78">
        <v>36.363636363636367</v>
      </c>
      <c r="P78">
        <v>6</v>
      </c>
      <c r="Q78">
        <v>36.842105263157897</v>
      </c>
      <c r="W78">
        <v>6</v>
      </c>
      <c r="X78">
        <v>45.370370370370367</v>
      </c>
      <c r="AD78">
        <v>6</v>
      </c>
      <c r="AE78">
        <v>77.10526315789474</v>
      </c>
    </row>
    <row r="79" spans="1:33" x14ac:dyDescent="0.2">
      <c r="B79">
        <v>7</v>
      </c>
      <c r="C79">
        <v>35.483870967741936</v>
      </c>
      <c r="I79">
        <v>7</v>
      </c>
      <c r="J79">
        <v>9.7560975609756095</v>
      </c>
      <c r="P79">
        <v>7</v>
      </c>
      <c r="Q79">
        <v>56.363636363636367</v>
      </c>
      <c r="W79">
        <v>7</v>
      </c>
      <c r="X79">
        <v>37.076101468624834</v>
      </c>
      <c r="AD79">
        <v>7</v>
      </c>
      <c r="AE79">
        <v>86.15384615384616</v>
      </c>
    </row>
    <row r="80" spans="1:33" x14ac:dyDescent="0.2">
      <c r="B80">
        <v>8</v>
      </c>
      <c r="C80">
        <v>48.571428571428569</v>
      </c>
      <c r="I80">
        <v>8</v>
      </c>
      <c r="J80">
        <v>77.777777777777771</v>
      </c>
      <c r="P80">
        <v>8</v>
      </c>
      <c r="Q80">
        <v>57.446808510638299</v>
      </c>
      <c r="W80">
        <v>8</v>
      </c>
      <c r="X80">
        <v>69.00900900900902</v>
      </c>
      <c r="AD80">
        <v>8</v>
      </c>
      <c r="AE80">
        <v>37.714285714285715</v>
      </c>
    </row>
    <row r="81" spans="1:31" x14ac:dyDescent="0.2">
      <c r="B81">
        <v>9</v>
      </c>
      <c r="C81">
        <v>7.5630252100840334</v>
      </c>
      <c r="I81">
        <v>9</v>
      </c>
      <c r="J81">
        <v>61.29032258064516</v>
      </c>
      <c r="P81">
        <v>9</v>
      </c>
      <c r="Q81">
        <v>57.142857142857146</v>
      </c>
      <c r="W81">
        <v>9</v>
      </c>
      <c r="X81">
        <v>0</v>
      </c>
      <c r="AD81">
        <v>9</v>
      </c>
      <c r="AE81">
        <v>83.939393939393938</v>
      </c>
    </row>
    <row r="82" spans="1:31" x14ac:dyDescent="0.2">
      <c r="B82">
        <v>10</v>
      </c>
      <c r="C82">
        <v>45.454545454545453</v>
      </c>
      <c r="I82">
        <v>10</v>
      </c>
      <c r="J82">
        <v>44.444444444444443</v>
      </c>
      <c r="P82">
        <v>10</v>
      </c>
      <c r="Q82">
        <v>65.714285714285708</v>
      </c>
      <c r="W82">
        <v>10</v>
      </c>
      <c r="X82">
        <v>48.75</v>
      </c>
      <c r="AD82">
        <v>10</v>
      </c>
      <c r="AE82">
        <v>86.181818181818187</v>
      </c>
    </row>
    <row r="83" spans="1:31" x14ac:dyDescent="0.2">
      <c r="B83">
        <v>11</v>
      </c>
      <c r="C83">
        <v>47.368421052631582</v>
      </c>
      <c r="I83">
        <v>11</v>
      </c>
      <c r="J83">
        <v>2.1276595744680851</v>
      </c>
      <c r="P83">
        <v>11</v>
      </c>
      <c r="Q83">
        <v>30</v>
      </c>
      <c r="W83">
        <v>11</v>
      </c>
      <c r="X83">
        <v>60.918484500574053</v>
      </c>
      <c r="AD83">
        <v>11</v>
      </c>
      <c r="AE83">
        <v>72.410546139359695</v>
      </c>
    </row>
    <row r="84" spans="1:31" x14ac:dyDescent="0.2">
      <c r="B84">
        <v>12</v>
      </c>
      <c r="C84">
        <v>28</v>
      </c>
      <c r="I84">
        <v>12</v>
      </c>
      <c r="J84">
        <v>46.666666666666664</v>
      </c>
      <c r="P84">
        <v>12</v>
      </c>
      <c r="Q84">
        <v>39.622641509433961</v>
      </c>
      <c r="W84">
        <v>12</v>
      </c>
      <c r="X84">
        <v>52.727272727272727</v>
      </c>
      <c r="AD84">
        <v>12</v>
      </c>
      <c r="AE84">
        <v>85.11904761904762</v>
      </c>
    </row>
    <row r="86" spans="1:31" x14ac:dyDescent="0.2">
      <c r="A86" s="2" t="s">
        <v>6</v>
      </c>
      <c r="H86" s="2" t="s">
        <v>6</v>
      </c>
      <c r="O86" s="2" t="s">
        <v>6</v>
      </c>
      <c r="V86" s="2" t="s">
        <v>6</v>
      </c>
      <c r="AC86" s="2" t="s">
        <v>6</v>
      </c>
    </row>
    <row r="87" spans="1:31" x14ac:dyDescent="0.2">
      <c r="A87" s="2" t="s">
        <v>7</v>
      </c>
      <c r="H87" s="2" t="s">
        <v>7</v>
      </c>
      <c r="O87" s="2" t="s">
        <v>129</v>
      </c>
      <c r="V87" s="2" t="s">
        <v>7</v>
      </c>
      <c r="AC87" s="2" t="s">
        <v>7</v>
      </c>
    </row>
    <row r="88" spans="1:31" x14ac:dyDescent="0.2">
      <c r="A88" s="2" t="s">
        <v>130</v>
      </c>
      <c r="H88" s="2" t="s">
        <v>145</v>
      </c>
      <c r="O88" s="2" t="s">
        <v>160</v>
      </c>
      <c r="V88" s="2" t="s">
        <v>175</v>
      </c>
      <c r="AC88" s="2" t="s">
        <v>190</v>
      </c>
    </row>
    <row r="89" spans="1:31" x14ac:dyDescent="0.2">
      <c r="A89" s="2" t="s">
        <v>131</v>
      </c>
      <c r="H89" s="2" t="s">
        <v>146</v>
      </c>
      <c r="O89" s="2" t="s">
        <v>161</v>
      </c>
      <c r="V89" s="2" t="s">
        <v>176</v>
      </c>
      <c r="AC89" s="2" t="s">
        <v>191</v>
      </c>
    </row>
    <row r="90" spans="1:31" x14ac:dyDescent="0.2">
      <c r="A90" s="2" t="s">
        <v>132</v>
      </c>
      <c r="H90" s="2" t="s">
        <v>147</v>
      </c>
      <c r="O90" s="2" t="s">
        <v>162</v>
      </c>
      <c r="V90" s="2" t="s">
        <v>177</v>
      </c>
      <c r="AC90" s="2" t="s">
        <v>192</v>
      </c>
    </row>
    <row r="91" spans="1:31" x14ac:dyDescent="0.2">
      <c r="A91" s="2" t="s">
        <v>133</v>
      </c>
      <c r="H91" s="2" t="s">
        <v>148</v>
      </c>
      <c r="O91" s="2" t="s">
        <v>163</v>
      </c>
      <c r="V91" s="2" t="s">
        <v>178</v>
      </c>
      <c r="AC91" s="2" t="s">
        <v>193</v>
      </c>
    </row>
    <row r="92" spans="1:31" x14ac:dyDescent="0.2">
      <c r="A92" s="2" t="s">
        <v>134</v>
      </c>
      <c r="H92" s="2" t="s">
        <v>149</v>
      </c>
      <c r="O92" s="2" t="s">
        <v>164</v>
      </c>
      <c r="V92" s="2" t="s">
        <v>179</v>
      </c>
      <c r="AC92" s="2" t="s">
        <v>194</v>
      </c>
    </row>
    <row r="93" spans="1:31" x14ac:dyDescent="0.2">
      <c r="A93" s="2" t="s">
        <v>135</v>
      </c>
      <c r="H93" s="2" t="s">
        <v>150</v>
      </c>
      <c r="O93" s="2" t="s">
        <v>165</v>
      </c>
      <c r="V93" s="2" t="s">
        <v>180</v>
      </c>
      <c r="AC93" s="2" t="s">
        <v>195</v>
      </c>
    </row>
    <row r="94" spans="1:31" x14ac:dyDescent="0.2">
      <c r="A94" s="2" t="s">
        <v>136</v>
      </c>
      <c r="H94" s="2" t="s">
        <v>151</v>
      </c>
      <c r="O94" s="2" t="s">
        <v>166</v>
      </c>
      <c r="V94" s="2" t="s">
        <v>181</v>
      </c>
      <c r="AC94" s="2" t="s">
        <v>196</v>
      </c>
    </row>
    <row r="95" spans="1:31" x14ac:dyDescent="0.2">
      <c r="A95" s="2" t="s">
        <v>137</v>
      </c>
      <c r="H95" s="2" t="s">
        <v>152</v>
      </c>
      <c r="O95" s="2" t="s">
        <v>167</v>
      </c>
      <c r="V95" s="2" t="s">
        <v>182</v>
      </c>
      <c r="AC95" s="2" t="s">
        <v>197</v>
      </c>
    </row>
    <row r="96" spans="1:31" x14ac:dyDescent="0.2">
      <c r="A96" s="2" t="s">
        <v>138</v>
      </c>
      <c r="H96" s="2" t="s">
        <v>153</v>
      </c>
      <c r="O96" s="2" t="s">
        <v>168</v>
      </c>
      <c r="V96" s="2" t="s">
        <v>183</v>
      </c>
      <c r="AC96" s="2" t="s">
        <v>198</v>
      </c>
    </row>
    <row r="97" spans="1:29" x14ac:dyDescent="0.2">
      <c r="A97" s="2" t="s">
        <v>139</v>
      </c>
      <c r="H97" s="2" t="s">
        <v>154</v>
      </c>
      <c r="O97" s="2" t="s">
        <v>169</v>
      </c>
      <c r="V97" s="2" t="s">
        <v>184</v>
      </c>
      <c r="AC97" s="2" t="s">
        <v>199</v>
      </c>
    </row>
    <row r="98" spans="1:29" x14ac:dyDescent="0.2">
      <c r="A98" s="2" t="s">
        <v>140</v>
      </c>
      <c r="H98" s="2" t="s">
        <v>155</v>
      </c>
      <c r="O98" s="2" t="s">
        <v>170</v>
      </c>
      <c r="V98" s="2" t="s">
        <v>185</v>
      </c>
      <c r="AC98" s="2" t="s">
        <v>200</v>
      </c>
    </row>
    <row r="99" spans="1:29" x14ac:dyDescent="0.2">
      <c r="A99" s="2" t="s">
        <v>141</v>
      </c>
      <c r="H99" s="2" t="s">
        <v>156</v>
      </c>
      <c r="O99" s="2" t="s">
        <v>171</v>
      </c>
      <c r="V99" s="2" t="s">
        <v>186</v>
      </c>
      <c r="AC99" s="2" t="s">
        <v>201</v>
      </c>
    </row>
    <row r="100" spans="1:29" x14ac:dyDescent="0.2">
      <c r="A100" s="2" t="s">
        <v>142</v>
      </c>
      <c r="H100" s="2" t="s">
        <v>157</v>
      </c>
      <c r="O100" s="2" t="s">
        <v>172</v>
      </c>
      <c r="V100" s="2" t="s">
        <v>187</v>
      </c>
      <c r="AC100" s="2" t="s">
        <v>202</v>
      </c>
    </row>
    <row r="101" spans="1:29" x14ac:dyDescent="0.2">
      <c r="A101" s="2" t="s">
        <v>143</v>
      </c>
      <c r="H101" s="2" t="s">
        <v>158</v>
      </c>
      <c r="O101" s="2" t="s">
        <v>173</v>
      </c>
      <c r="V101" s="2" t="s">
        <v>188</v>
      </c>
      <c r="AC101" s="2" t="s">
        <v>203</v>
      </c>
    </row>
    <row r="102" spans="1:29" x14ac:dyDescent="0.2">
      <c r="A102" s="2" t="s">
        <v>144</v>
      </c>
      <c r="H102" s="2" t="s">
        <v>159</v>
      </c>
      <c r="O102" s="2" t="s">
        <v>174</v>
      </c>
      <c r="V102" s="2" t="s">
        <v>189</v>
      </c>
      <c r="AC102" s="2" t="s">
        <v>204</v>
      </c>
    </row>
    <row r="103" spans="1:29" x14ac:dyDescent="0.2">
      <c r="A103" s="3" t="s">
        <v>13</v>
      </c>
      <c r="H103" s="3" t="s">
        <v>13</v>
      </c>
      <c r="O103" s="2" t="s">
        <v>37</v>
      </c>
      <c r="V103" s="3" t="s">
        <v>13</v>
      </c>
      <c r="AC103" s="3" t="s">
        <v>13</v>
      </c>
    </row>
    <row r="104" spans="1:29" x14ac:dyDescent="0.2">
      <c r="O104" s="2" t="s">
        <v>38</v>
      </c>
    </row>
    <row r="105" spans="1:29" x14ac:dyDescent="0.2">
      <c r="O105" s="3" t="s">
        <v>13</v>
      </c>
    </row>
    <row r="107" spans="1:29" s="1" customFormat="1" x14ac:dyDescent="0.2"/>
    <row r="108" spans="1:29" x14ac:dyDescent="0.2">
      <c r="A108" t="s">
        <v>15</v>
      </c>
      <c r="C108" t="s">
        <v>494</v>
      </c>
      <c r="H108" t="s">
        <v>495</v>
      </c>
      <c r="J108" t="s">
        <v>496</v>
      </c>
    </row>
    <row r="109" spans="1:29" x14ac:dyDescent="0.2">
      <c r="A109" t="s">
        <v>61</v>
      </c>
      <c r="B109" t="s">
        <v>1</v>
      </c>
      <c r="C109" t="s">
        <v>2</v>
      </c>
      <c r="D109" t="s">
        <v>4</v>
      </c>
      <c r="E109" t="s">
        <v>95</v>
      </c>
      <c r="H109" t="s">
        <v>61</v>
      </c>
      <c r="I109" t="s">
        <v>1</v>
      </c>
      <c r="J109" t="s">
        <v>2</v>
      </c>
      <c r="K109" t="s">
        <v>4</v>
      </c>
      <c r="L109" t="s">
        <v>95</v>
      </c>
    </row>
    <row r="110" spans="1:29" ht="16" x14ac:dyDescent="0.25">
      <c r="A110" t="s">
        <v>32</v>
      </c>
      <c r="B110">
        <v>1</v>
      </c>
      <c r="C110">
        <v>83.333333333333329</v>
      </c>
      <c r="D110">
        <f>AVERAGE(C110:C121)</f>
        <v>74.977826470074049</v>
      </c>
      <c r="E110" s="4">
        <f>STDEV(C110:C121) /SQRT(COUNT(C110:C121))</f>
        <v>1.8943250180016671</v>
      </c>
      <c r="H110" t="s">
        <v>32</v>
      </c>
      <c r="I110">
        <v>1</v>
      </c>
      <c r="J110">
        <v>65.865384615384613</v>
      </c>
      <c r="K110">
        <f>AVERAGE(J110:J121)</f>
        <v>59.658026104342902</v>
      </c>
      <c r="L110" s="4">
        <f>STDEV(J110:J121) /SQRT(COUNT(J110:J121))</f>
        <v>1.7297349284683226</v>
      </c>
    </row>
    <row r="111" spans="1:29" x14ac:dyDescent="0.2">
      <c r="B111">
        <v>2</v>
      </c>
      <c r="C111">
        <v>77.822580645161281</v>
      </c>
      <c r="I111">
        <v>2</v>
      </c>
      <c r="J111">
        <v>60.606060606060609</v>
      </c>
    </row>
    <row r="112" spans="1:29" x14ac:dyDescent="0.2">
      <c r="B112">
        <v>3</v>
      </c>
      <c r="C112">
        <v>70</v>
      </c>
      <c r="I112">
        <v>3</v>
      </c>
      <c r="J112">
        <v>53.393665158371036</v>
      </c>
    </row>
    <row r="113" spans="1:12" x14ac:dyDescent="0.2">
      <c r="B113">
        <v>4</v>
      </c>
      <c r="C113">
        <v>68.461538461538453</v>
      </c>
      <c r="I113">
        <v>4</v>
      </c>
      <c r="J113">
        <v>59.027777777777779</v>
      </c>
    </row>
    <row r="114" spans="1:12" x14ac:dyDescent="0.2">
      <c r="B114">
        <v>5</v>
      </c>
      <c r="C114">
        <v>85.641025641025635</v>
      </c>
      <c r="I114">
        <v>5</v>
      </c>
      <c r="J114">
        <v>51.92307692307692</v>
      </c>
    </row>
    <row r="115" spans="1:12" x14ac:dyDescent="0.2">
      <c r="B115">
        <v>6</v>
      </c>
      <c r="C115">
        <v>79.761904761904759</v>
      </c>
      <c r="I115">
        <v>6</v>
      </c>
      <c r="J115">
        <v>51.111111111111114</v>
      </c>
    </row>
    <row r="116" spans="1:12" x14ac:dyDescent="0.2">
      <c r="B116">
        <v>7</v>
      </c>
      <c r="C116">
        <v>78.888888888888886</v>
      </c>
      <c r="I116">
        <v>7</v>
      </c>
      <c r="J116">
        <v>52.280701754385959</v>
      </c>
    </row>
    <row r="117" spans="1:12" x14ac:dyDescent="0.2">
      <c r="B117">
        <v>8</v>
      </c>
      <c r="C117">
        <v>72.38095238095238</v>
      </c>
      <c r="I117">
        <v>8</v>
      </c>
      <c r="J117">
        <v>62.916666666666671</v>
      </c>
    </row>
    <row r="118" spans="1:12" x14ac:dyDescent="0.2">
      <c r="B118">
        <v>9</v>
      </c>
      <c r="C118">
        <v>77.38095238095238</v>
      </c>
      <c r="I118">
        <v>9</v>
      </c>
      <c r="J118">
        <v>61.818181818181813</v>
      </c>
    </row>
    <row r="119" spans="1:12" x14ac:dyDescent="0.2">
      <c r="B119">
        <v>10</v>
      </c>
      <c r="C119">
        <v>71.307300509337864</v>
      </c>
      <c r="I119">
        <v>10</v>
      </c>
      <c r="J119">
        <v>67.543859649122808</v>
      </c>
    </row>
    <row r="120" spans="1:12" x14ac:dyDescent="0.2">
      <c r="B120">
        <v>11</v>
      </c>
      <c r="C120">
        <v>63.186813186813183</v>
      </c>
      <c r="I120">
        <v>11</v>
      </c>
      <c r="J120">
        <v>64.426877470355734</v>
      </c>
    </row>
    <row r="121" spans="1:12" x14ac:dyDescent="0.2">
      <c r="B121">
        <v>12</v>
      </c>
      <c r="C121">
        <v>71.568627450980387</v>
      </c>
      <c r="I121">
        <v>12</v>
      </c>
      <c r="J121">
        <v>64.982949701619773</v>
      </c>
    </row>
    <row r="123" spans="1:12" x14ac:dyDescent="0.2">
      <c r="A123" t="s">
        <v>3</v>
      </c>
      <c r="B123" t="s">
        <v>1</v>
      </c>
      <c r="C123" t="s">
        <v>2</v>
      </c>
      <c r="D123" t="s">
        <v>4</v>
      </c>
      <c r="E123" t="s">
        <v>95</v>
      </c>
      <c r="H123" t="s">
        <v>3</v>
      </c>
      <c r="I123" t="s">
        <v>1</v>
      </c>
      <c r="J123" t="s">
        <v>2</v>
      </c>
      <c r="K123" t="s">
        <v>4</v>
      </c>
      <c r="L123" t="s">
        <v>95</v>
      </c>
    </row>
    <row r="124" spans="1:12" ht="16" x14ac:dyDescent="0.25">
      <c r="A124" t="s">
        <v>48</v>
      </c>
      <c r="B124">
        <v>1</v>
      </c>
      <c r="C124">
        <v>81.229235880398676</v>
      </c>
      <c r="D124">
        <f>AVERAGE(C124:C135)</f>
        <v>77.617611828619616</v>
      </c>
      <c r="E124" s="4">
        <f>STDEV(C124:C135) /SQRT(COUNT(C124:C135))</f>
        <v>1.1480746786771114</v>
      </c>
      <c r="H124" t="s">
        <v>48</v>
      </c>
      <c r="I124">
        <v>1</v>
      </c>
      <c r="J124">
        <v>61.594202898550726</v>
      </c>
      <c r="K124">
        <f>AVERAGE(J124:J135)</f>
        <v>59.696638637651752</v>
      </c>
      <c r="L124" s="4">
        <f>STDEV(J124:J135) /SQRT(COUNT(J124:J135))</f>
        <v>2.2495740605745587</v>
      </c>
    </row>
    <row r="125" spans="1:12" x14ac:dyDescent="0.2">
      <c r="B125">
        <v>2</v>
      </c>
      <c r="C125">
        <v>75</v>
      </c>
      <c r="I125">
        <v>2</v>
      </c>
      <c r="J125">
        <v>54.575163398692808</v>
      </c>
    </row>
    <row r="126" spans="1:12" x14ac:dyDescent="0.2">
      <c r="B126">
        <v>3</v>
      </c>
      <c r="C126">
        <v>79.144385026737964</v>
      </c>
      <c r="I126">
        <v>3</v>
      </c>
      <c r="J126">
        <v>50</v>
      </c>
    </row>
    <row r="127" spans="1:12" x14ac:dyDescent="0.2">
      <c r="B127">
        <v>4</v>
      </c>
      <c r="C127">
        <v>77.450980392156865</v>
      </c>
      <c r="I127">
        <v>4</v>
      </c>
      <c r="J127">
        <v>47.61904761904762</v>
      </c>
    </row>
    <row r="128" spans="1:12" x14ac:dyDescent="0.2">
      <c r="B128">
        <v>5</v>
      </c>
      <c r="C128">
        <v>81.617647058823536</v>
      </c>
      <c r="I128">
        <v>5</v>
      </c>
      <c r="J128">
        <v>56.818181818181813</v>
      </c>
    </row>
    <row r="129" spans="1:12" x14ac:dyDescent="0.2">
      <c r="B129">
        <v>6</v>
      </c>
      <c r="C129">
        <v>81.818181818181813</v>
      </c>
      <c r="I129">
        <v>6</v>
      </c>
      <c r="J129">
        <v>50.607287449392715</v>
      </c>
    </row>
    <row r="130" spans="1:12" x14ac:dyDescent="0.2">
      <c r="B130">
        <v>7</v>
      </c>
      <c r="C130">
        <v>75</v>
      </c>
      <c r="I130">
        <v>7</v>
      </c>
      <c r="J130">
        <v>58.088235294117652</v>
      </c>
    </row>
    <row r="131" spans="1:12" x14ac:dyDescent="0.2">
      <c r="B131">
        <v>8</v>
      </c>
      <c r="C131">
        <v>70.430107526881727</v>
      </c>
      <c r="I131">
        <v>8</v>
      </c>
      <c r="J131">
        <v>67.846889952153106</v>
      </c>
    </row>
    <row r="132" spans="1:12" x14ac:dyDescent="0.2">
      <c r="B132">
        <v>9</v>
      </c>
      <c r="C132">
        <v>75</v>
      </c>
      <c r="I132">
        <v>9</v>
      </c>
      <c r="J132">
        <v>68.518518518518519</v>
      </c>
    </row>
    <row r="133" spans="1:12" x14ac:dyDescent="0.2">
      <c r="B133">
        <v>10</v>
      </c>
      <c r="C133">
        <v>74.13600891861762</v>
      </c>
      <c r="I133">
        <v>10</v>
      </c>
      <c r="J133">
        <v>67.272727272727266</v>
      </c>
    </row>
    <row r="134" spans="1:12" x14ac:dyDescent="0.2">
      <c r="B134">
        <v>11</v>
      </c>
      <c r="C134">
        <v>76.666666666666657</v>
      </c>
      <c r="I134">
        <v>11</v>
      </c>
      <c r="J134">
        <v>68.253968253968253</v>
      </c>
    </row>
    <row r="135" spans="1:12" x14ac:dyDescent="0.2">
      <c r="B135">
        <v>12</v>
      </c>
      <c r="C135">
        <v>83.918128654970758</v>
      </c>
      <c r="I135">
        <v>12</v>
      </c>
      <c r="J135">
        <v>65.16544117647058</v>
      </c>
    </row>
    <row r="137" spans="1:12" x14ac:dyDescent="0.2">
      <c r="A137" t="s">
        <v>5</v>
      </c>
      <c r="B137" t="s">
        <v>1</v>
      </c>
      <c r="C137" t="s">
        <v>2</v>
      </c>
      <c r="D137" t="s">
        <v>4</v>
      </c>
      <c r="E137" t="s">
        <v>95</v>
      </c>
      <c r="H137" t="s">
        <v>5</v>
      </c>
      <c r="I137" t="s">
        <v>1</v>
      </c>
      <c r="J137" t="s">
        <v>2</v>
      </c>
      <c r="K137" t="s">
        <v>4</v>
      </c>
      <c r="L137" t="s">
        <v>95</v>
      </c>
    </row>
    <row r="138" spans="1:12" ht="16" x14ac:dyDescent="0.25">
      <c r="A138" t="s">
        <v>49</v>
      </c>
      <c r="B138">
        <v>1</v>
      </c>
      <c r="C138">
        <v>83.07692307692308</v>
      </c>
      <c r="D138">
        <f>AVERAGE(C138:C149)</f>
        <v>76.030152038755162</v>
      </c>
      <c r="E138" s="4">
        <f>STDEV(C138:C149) /SQRT(COUNT(C138:C149))</f>
        <v>1.4106547139777137</v>
      </c>
      <c r="H138" t="s">
        <v>49</v>
      </c>
      <c r="I138">
        <v>1</v>
      </c>
      <c r="J138">
        <v>16.666666666666668</v>
      </c>
      <c r="K138">
        <f>AVERAGE(J138:J149)</f>
        <v>20.953652934393208</v>
      </c>
      <c r="L138" s="4">
        <f>STDEV(J138:J149) /SQRT(COUNT(J138:J149))</f>
        <v>3.7539447286053385</v>
      </c>
    </row>
    <row r="139" spans="1:12" x14ac:dyDescent="0.2">
      <c r="B139">
        <v>2</v>
      </c>
      <c r="C139">
        <v>79.411764705882348</v>
      </c>
      <c r="I139">
        <v>2</v>
      </c>
      <c r="J139">
        <v>20.238095238095241</v>
      </c>
    </row>
    <row r="140" spans="1:12" x14ac:dyDescent="0.2">
      <c r="B140">
        <v>3</v>
      </c>
      <c r="C140">
        <v>72.141706924315628</v>
      </c>
      <c r="I140">
        <v>3</v>
      </c>
      <c r="J140">
        <v>-0.96153846153846168</v>
      </c>
    </row>
    <row r="141" spans="1:12" x14ac:dyDescent="0.2">
      <c r="B141">
        <v>4</v>
      </c>
      <c r="C141">
        <v>70.714285714285722</v>
      </c>
      <c r="I141">
        <v>4</v>
      </c>
      <c r="J141">
        <v>26.666666666666668</v>
      </c>
    </row>
    <row r="142" spans="1:12" x14ac:dyDescent="0.2">
      <c r="B142">
        <v>5</v>
      </c>
      <c r="C142">
        <v>70.562770562770567</v>
      </c>
      <c r="I142">
        <v>5</v>
      </c>
      <c r="J142">
        <v>33.333333333333336</v>
      </c>
    </row>
    <row r="143" spans="1:12" x14ac:dyDescent="0.2">
      <c r="B143">
        <v>6</v>
      </c>
      <c r="C143">
        <v>78.571428571428569</v>
      </c>
      <c r="I143">
        <v>6</v>
      </c>
      <c r="J143">
        <v>35.714285714285715</v>
      </c>
    </row>
    <row r="144" spans="1:12" x14ac:dyDescent="0.2">
      <c r="B144">
        <v>7</v>
      </c>
      <c r="C144">
        <v>83.216783216783213</v>
      </c>
      <c r="I144">
        <v>7</v>
      </c>
      <c r="J144">
        <v>-6.3492063492063515</v>
      </c>
    </row>
    <row r="145" spans="1:10" x14ac:dyDescent="0.2">
      <c r="B145">
        <v>8</v>
      </c>
      <c r="C145">
        <v>75.804878048780495</v>
      </c>
      <c r="I145">
        <v>8</v>
      </c>
      <c r="J145">
        <v>18.316594930655189</v>
      </c>
    </row>
    <row r="146" spans="1:10" x14ac:dyDescent="0.2">
      <c r="B146">
        <v>9</v>
      </c>
      <c r="C146">
        <v>79.813664596273298</v>
      </c>
      <c r="I146">
        <v>9</v>
      </c>
      <c r="J146">
        <v>26.448787061994611</v>
      </c>
    </row>
    <row r="147" spans="1:10" x14ac:dyDescent="0.2">
      <c r="B147">
        <v>10</v>
      </c>
      <c r="C147">
        <v>70.833333333333343</v>
      </c>
      <c r="I147">
        <v>10</v>
      </c>
      <c r="J147">
        <v>28.160447147788922</v>
      </c>
    </row>
    <row r="148" spans="1:10" x14ac:dyDescent="0.2">
      <c r="B148">
        <v>11</v>
      </c>
      <c r="C148">
        <v>70.833333333333343</v>
      </c>
      <c r="I148">
        <v>11</v>
      </c>
      <c r="J148">
        <v>21.182053494391717</v>
      </c>
    </row>
    <row r="149" spans="1:10" x14ac:dyDescent="0.2">
      <c r="B149">
        <v>12</v>
      </c>
      <c r="C149">
        <v>77.38095238095238</v>
      </c>
      <c r="I149">
        <v>12</v>
      </c>
      <c r="J149">
        <v>32.027649769585253</v>
      </c>
    </row>
    <row r="151" spans="1:10" x14ac:dyDescent="0.2">
      <c r="A151" s="2" t="s">
        <v>6</v>
      </c>
      <c r="H151" s="2" t="s">
        <v>6</v>
      </c>
    </row>
    <row r="152" spans="1:10" x14ac:dyDescent="0.2">
      <c r="A152" s="2" t="s">
        <v>7</v>
      </c>
      <c r="H152" s="2" t="s">
        <v>500</v>
      </c>
    </row>
    <row r="153" spans="1:10" x14ac:dyDescent="0.2">
      <c r="A153" s="2" t="s">
        <v>497</v>
      </c>
      <c r="H153" s="2" t="s">
        <v>501</v>
      </c>
    </row>
    <row r="154" spans="1:10" x14ac:dyDescent="0.2">
      <c r="A154" s="2" t="s">
        <v>498</v>
      </c>
      <c r="H154" s="2" t="s">
        <v>502</v>
      </c>
    </row>
    <row r="155" spans="1:10" x14ac:dyDescent="0.2">
      <c r="A155" s="2" t="s">
        <v>499</v>
      </c>
      <c r="H155" s="2" t="s">
        <v>503</v>
      </c>
    </row>
    <row r="156" spans="1:10" x14ac:dyDescent="0.2">
      <c r="A156" s="2" t="s">
        <v>13</v>
      </c>
      <c r="H156" s="2" t="s">
        <v>37</v>
      </c>
    </row>
    <row r="157" spans="1:10" x14ac:dyDescent="0.2">
      <c r="H157" s="2" t="s">
        <v>38</v>
      </c>
    </row>
    <row r="158" spans="1:10" x14ac:dyDescent="0.2">
      <c r="H158" s="2" t="s">
        <v>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B7EB-9431-4A72-AC03-580AF8F77A4A}">
  <dimension ref="A1:L51"/>
  <sheetViews>
    <sheetView topLeftCell="A15" workbookViewId="0">
      <selection activeCell="S30" sqref="R30:S38"/>
    </sheetView>
  </sheetViews>
  <sheetFormatPr baseColWidth="10" defaultColWidth="11.5" defaultRowHeight="15" x14ac:dyDescent="0.2"/>
  <cols>
    <col min="7" max="7" width="11.5" style="1"/>
  </cols>
  <sheetData>
    <row r="1" spans="1:12" x14ac:dyDescent="0.2">
      <c r="A1" t="s">
        <v>9</v>
      </c>
      <c r="C1" t="s">
        <v>390</v>
      </c>
      <c r="H1" t="s">
        <v>10</v>
      </c>
      <c r="J1" t="s">
        <v>391</v>
      </c>
    </row>
    <row r="2" spans="1:12" x14ac:dyDescent="0.2">
      <c r="A2" t="s">
        <v>61</v>
      </c>
      <c r="B2" t="s">
        <v>1</v>
      </c>
      <c r="C2" t="s">
        <v>2</v>
      </c>
      <c r="D2" t="s">
        <v>4</v>
      </c>
      <c r="E2" t="s">
        <v>95</v>
      </c>
      <c r="H2" t="s">
        <v>61</v>
      </c>
      <c r="I2" t="s">
        <v>1</v>
      </c>
      <c r="J2" t="s">
        <v>2</v>
      </c>
      <c r="K2" t="s">
        <v>4</v>
      </c>
      <c r="L2" t="s">
        <v>95</v>
      </c>
    </row>
    <row r="3" spans="1:12" ht="16" x14ac:dyDescent="0.25">
      <c r="A3" t="s">
        <v>32</v>
      </c>
      <c r="B3">
        <v>1</v>
      </c>
      <c r="C3">
        <v>52.631578947368418</v>
      </c>
      <c r="D3">
        <v>63.723171366490199</v>
      </c>
      <c r="E3" s="4">
        <f>STDEV(C3:C14) /SQRT(COUNT(C3:C14))</f>
        <v>3.8564052038038499</v>
      </c>
      <c r="H3" t="s">
        <v>32</v>
      </c>
      <c r="I3">
        <v>1</v>
      </c>
      <c r="J3">
        <v>22.222222222222221</v>
      </c>
      <c r="K3">
        <v>47.818981078432635</v>
      </c>
      <c r="L3" s="4">
        <f>STDEV(J3:J14) /SQRT(COUNT(J3:J14))</f>
        <v>6.3622063917382468</v>
      </c>
    </row>
    <row r="4" spans="1:12" x14ac:dyDescent="0.2">
      <c r="B4">
        <v>2</v>
      </c>
      <c r="C4">
        <v>50.588235294117645</v>
      </c>
      <c r="I4">
        <v>2</v>
      </c>
      <c r="J4">
        <v>19.444444444444443</v>
      </c>
    </row>
    <row r="5" spans="1:12" x14ac:dyDescent="0.2">
      <c r="B5">
        <v>3</v>
      </c>
      <c r="C5">
        <v>51.851851851851855</v>
      </c>
      <c r="I5">
        <v>3</v>
      </c>
      <c r="J5">
        <v>22</v>
      </c>
    </row>
    <row r="6" spans="1:12" x14ac:dyDescent="0.2">
      <c r="B6">
        <v>4</v>
      </c>
      <c r="C6">
        <v>53.658536585365852</v>
      </c>
      <c r="I6">
        <v>4</v>
      </c>
      <c r="J6">
        <v>19.254658385093169</v>
      </c>
    </row>
    <row r="7" spans="1:12" x14ac:dyDescent="0.2">
      <c r="B7">
        <v>5</v>
      </c>
      <c r="C7">
        <v>77.777777777777771</v>
      </c>
      <c r="I7">
        <v>5</v>
      </c>
      <c r="J7">
        <v>52.631578947368418</v>
      </c>
    </row>
    <row r="8" spans="1:12" x14ac:dyDescent="0.2">
      <c r="B8">
        <v>6</v>
      </c>
      <c r="C8">
        <v>68</v>
      </c>
      <c r="I8">
        <v>6</v>
      </c>
      <c r="J8">
        <v>50.588235294117645</v>
      </c>
    </row>
    <row r="9" spans="1:12" x14ac:dyDescent="0.2">
      <c r="B9">
        <v>7</v>
      </c>
      <c r="C9">
        <v>58.620689655172413</v>
      </c>
      <c r="I9">
        <v>7</v>
      </c>
      <c r="J9">
        <v>51.851851851851855</v>
      </c>
    </row>
    <row r="10" spans="1:12" x14ac:dyDescent="0.2">
      <c r="B10">
        <v>8</v>
      </c>
      <c r="C10">
        <v>61.904761904761905</v>
      </c>
      <c r="I10">
        <v>8</v>
      </c>
      <c r="J10">
        <v>53.658536585365852</v>
      </c>
    </row>
    <row r="11" spans="1:12" x14ac:dyDescent="0.2">
      <c r="B11">
        <v>9</v>
      </c>
      <c r="C11">
        <v>84.615384615384613</v>
      </c>
      <c r="I11">
        <v>9</v>
      </c>
      <c r="J11">
        <v>77.777777777777771</v>
      </c>
    </row>
    <row r="12" spans="1:12" x14ac:dyDescent="0.2">
      <c r="B12">
        <v>10</v>
      </c>
      <c r="C12">
        <v>55.555555555555557</v>
      </c>
      <c r="I12">
        <v>10</v>
      </c>
      <c r="J12">
        <v>68</v>
      </c>
    </row>
    <row r="13" spans="1:12" x14ac:dyDescent="0.2">
      <c r="B13">
        <v>11</v>
      </c>
      <c r="C13">
        <v>60</v>
      </c>
      <c r="I13">
        <v>11</v>
      </c>
      <c r="J13">
        <v>58.620689655172413</v>
      </c>
    </row>
    <row r="14" spans="1:12" x14ac:dyDescent="0.2">
      <c r="B14">
        <v>12</v>
      </c>
      <c r="C14">
        <v>89.473684210526315</v>
      </c>
      <c r="I14">
        <v>12</v>
      </c>
      <c r="J14">
        <v>77.777777777777771</v>
      </c>
    </row>
    <row r="16" spans="1:12" x14ac:dyDescent="0.2">
      <c r="A16" t="s">
        <v>3</v>
      </c>
      <c r="B16" t="s">
        <v>1</v>
      </c>
      <c r="C16" t="s">
        <v>2</v>
      </c>
      <c r="D16" t="s">
        <v>4</v>
      </c>
      <c r="E16" t="s">
        <v>95</v>
      </c>
      <c r="H16" t="s">
        <v>3</v>
      </c>
      <c r="I16" t="s">
        <v>1</v>
      </c>
      <c r="J16" t="s">
        <v>2</v>
      </c>
      <c r="K16" t="s">
        <v>4</v>
      </c>
      <c r="L16" t="s">
        <v>95</v>
      </c>
    </row>
    <row r="17" spans="1:12" ht="16" x14ac:dyDescent="0.25">
      <c r="A17" t="s">
        <v>33</v>
      </c>
      <c r="B17">
        <v>1</v>
      </c>
      <c r="C17">
        <v>33.333333333333336</v>
      </c>
      <c r="D17">
        <v>59.960766534149627</v>
      </c>
      <c r="E17" s="4">
        <f>STDEV(C17:C28) /SQRT(COUNT(C17:C28))</f>
        <v>7.0364773067546205</v>
      </c>
      <c r="H17" t="s">
        <v>48</v>
      </c>
      <c r="I17">
        <v>1</v>
      </c>
      <c r="J17">
        <v>53.846153846153847</v>
      </c>
      <c r="K17">
        <v>43.160910732174443</v>
      </c>
      <c r="L17" s="4">
        <f>STDEV(J17:J28) /SQRT(COUNT(J17:J28))</f>
        <v>6.6058177460083298</v>
      </c>
    </row>
    <row r="18" spans="1:12" x14ac:dyDescent="0.2">
      <c r="B18">
        <v>2</v>
      </c>
      <c r="C18">
        <v>86.666666666666671</v>
      </c>
      <c r="I18">
        <v>2</v>
      </c>
      <c r="J18">
        <v>56.521739130434781</v>
      </c>
    </row>
    <row r="19" spans="1:12" x14ac:dyDescent="0.2">
      <c r="B19">
        <v>3</v>
      </c>
      <c r="C19">
        <v>35.135135135135137</v>
      </c>
      <c r="I19">
        <v>3</v>
      </c>
      <c r="J19">
        <v>44.444444444444443</v>
      </c>
    </row>
    <row r="20" spans="1:12" x14ac:dyDescent="0.2">
      <c r="B20">
        <v>4</v>
      </c>
      <c r="C20">
        <v>75</v>
      </c>
      <c r="I20">
        <v>4</v>
      </c>
      <c r="J20">
        <v>37.931034482758619</v>
      </c>
    </row>
    <row r="21" spans="1:12" x14ac:dyDescent="0.2">
      <c r="B21">
        <v>5</v>
      </c>
      <c r="C21">
        <v>63.636363636363633</v>
      </c>
      <c r="I21">
        <v>5</v>
      </c>
      <c r="J21">
        <v>4.5977011494252871</v>
      </c>
    </row>
    <row r="22" spans="1:12" x14ac:dyDescent="0.2">
      <c r="B22">
        <v>6</v>
      </c>
      <c r="C22">
        <v>50</v>
      </c>
      <c r="I22">
        <v>6</v>
      </c>
      <c r="J22">
        <v>21.739130434782609</v>
      </c>
    </row>
    <row r="23" spans="1:12" x14ac:dyDescent="0.2">
      <c r="B23">
        <v>7</v>
      </c>
      <c r="C23">
        <v>59.45945945945946</v>
      </c>
      <c r="I23">
        <v>7</v>
      </c>
      <c r="J23">
        <v>57.89473684210526</v>
      </c>
    </row>
    <row r="24" spans="1:12" x14ac:dyDescent="0.2">
      <c r="B24">
        <v>8</v>
      </c>
      <c r="C24">
        <v>84.615384615384613</v>
      </c>
      <c r="I24">
        <v>8</v>
      </c>
      <c r="J24">
        <v>1.3888888888888888</v>
      </c>
    </row>
    <row r="25" spans="1:12" x14ac:dyDescent="0.2">
      <c r="B25">
        <v>9</v>
      </c>
      <c r="C25">
        <v>25.925925925925927</v>
      </c>
      <c r="I25">
        <v>9</v>
      </c>
      <c r="J25">
        <v>63.636363636363633</v>
      </c>
    </row>
    <row r="26" spans="1:12" x14ac:dyDescent="0.2">
      <c r="B26">
        <v>10</v>
      </c>
      <c r="C26">
        <v>34.328358208955223</v>
      </c>
      <c r="I26">
        <v>10</v>
      </c>
      <c r="J26">
        <v>57.142857142857146</v>
      </c>
    </row>
    <row r="27" spans="1:12" x14ac:dyDescent="0.2">
      <c r="B27">
        <v>11</v>
      </c>
      <c r="C27">
        <v>100</v>
      </c>
      <c r="I27">
        <v>11</v>
      </c>
      <c r="J27">
        <v>45.454545454545453</v>
      </c>
    </row>
    <row r="28" spans="1:12" x14ac:dyDescent="0.2">
      <c r="B28">
        <v>12</v>
      </c>
      <c r="C28">
        <v>71.428571428571431</v>
      </c>
      <c r="I28">
        <v>12</v>
      </c>
      <c r="J28">
        <v>73.333333333333329</v>
      </c>
    </row>
    <row r="30" spans="1:12" x14ac:dyDescent="0.2">
      <c r="A30" t="s">
        <v>5</v>
      </c>
      <c r="B30" t="s">
        <v>1</v>
      </c>
      <c r="C30" t="s">
        <v>2</v>
      </c>
      <c r="D30" t="s">
        <v>4</v>
      </c>
      <c r="E30" t="s">
        <v>95</v>
      </c>
      <c r="H30" t="s">
        <v>5</v>
      </c>
      <c r="I30" t="s">
        <v>1</v>
      </c>
      <c r="J30" t="s">
        <v>2</v>
      </c>
      <c r="K30" t="s">
        <v>4</v>
      </c>
      <c r="L30" t="s">
        <v>95</v>
      </c>
    </row>
    <row r="31" spans="1:12" ht="16" x14ac:dyDescent="0.25">
      <c r="A31" t="s">
        <v>34</v>
      </c>
      <c r="B31">
        <v>1</v>
      </c>
      <c r="C31">
        <v>27.536231884057973</v>
      </c>
      <c r="D31">
        <v>45.910914859048795</v>
      </c>
      <c r="E31" s="4">
        <f>STDEV(C31:C42) /SQRT(COUNT(C31:C42))</f>
        <v>6.3895299622430892</v>
      </c>
      <c r="H31" t="s">
        <v>49</v>
      </c>
      <c r="I31">
        <v>1</v>
      </c>
      <c r="J31">
        <v>33.333333333333336</v>
      </c>
      <c r="K31">
        <v>50.836910685646735</v>
      </c>
      <c r="L31" s="4">
        <f>STDEV(J31:J42) /SQRT(COUNT(J31:J42))</f>
        <v>6.2857534830853439</v>
      </c>
    </row>
    <row r="32" spans="1:12" x14ac:dyDescent="0.2">
      <c r="B32">
        <v>2</v>
      </c>
      <c r="C32">
        <v>27.659574468085108</v>
      </c>
      <c r="I32">
        <v>2</v>
      </c>
      <c r="J32">
        <v>37.931034482758619</v>
      </c>
    </row>
    <row r="33" spans="1:10" x14ac:dyDescent="0.2">
      <c r="B33">
        <v>3</v>
      </c>
      <c r="C33">
        <v>54.545454545454547</v>
      </c>
      <c r="I33">
        <v>3</v>
      </c>
      <c r="J33">
        <v>80</v>
      </c>
    </row>
    <row r="34" spans="1:10" x14ac:dyDescent="0.2">
      <c r="B34">
        <v>4</v>
      </c>
      <c r="C34">
        <v>43.859649122807021</v>
      </c>
      <c r="I34">
        <v>4</v>
      </c>
      <c r="J34">
        <v>75</v>
      </c>
    </row>
    <row r="35" spans="1:10" x14ac:dyDescent="0.2">
      <c r="B35">
        <v>5</v>
      </c>
      <c r="C35">
        <v>33.333333333333336</v>
      </c>
      <c r="I35">
        <v>5</v>
      </c>
      <c r="J35">
        <v>41.860465116279073</v>
      </c>
    </row>
    <row r="36" spans="1:10" x14ac:dyDescent="0.2">
      <c r="B36">
        <v>6</v>
      </c>
      <c r="C36">
        <v>27.272727272727273</v>
      </c>
      <c r="I36">
        <v>6</v>
      </c>
      <c r="J36">
        <v>44.827586206896555</v>
      </c>
    </row>
    <row r="37" spans="1:10" x14ac:dyDescent="0.2">
      <c r="B37">
        <v>7</v>
      </c>
      <c r="C37">
        <v>30.434782608695652</v>
      </c>
      <c r="I37">
        <v>7</v>
      </c>
      <c r="J37">
        <v>13.333333333333334</v>
      </c>
    </row>
    <row r="38" spans="1:10" x14ac:dyDescent="0.2">
      <c r="B38">
        <v>8</v>
      </c>
      <c r="C38">
        <v>31.147540983606557</v>
      </c>
      <c r="I38">
        <v>8</v>
      </c>
      <c r="J38">
        <v>35.779816513761467</v>
      </c>
    </row>
    <row r="39" spans="1:10" x14ac:dyDescent="0.2">
      <c r="B39">
        <v>9</v>
      </c>
      <c r="C39">
        <v>69.230769230769226</v>
      </c>
      <c r="I39">
        <v>9</v>
      </c>
      <c r="J39">
        <v>35.384615384615387</v>
      </c>
    </row>
    <row r="40" spans="1:10" x14ac:dyDescent="0.2">
      <c r="B40">
        <v>10</v>
      </c>
      <c r="C40">
        <v>100</v>
      </c>
      <c r="I40">
        <v>10</v>
      </c>
      <c r="J40">
        <v>66.265060240963862</v>
      </c>
    </row>
    <row r="41" spans="1:10" x14ac:dyDescent="0.2">
      <c r="B41">
        <v>11</v>
      </c>
      <c r="C41">
        <v>60</v>
      </c>
      <c r="I41">
        <v>11</v>
      </c>
      <c r="J41">
        <v>79.66101694915254</v>
      </c>
    </row>
    <row r="42" spans="1:10" x14ac:dyDescent="0.2">
      <c r="B42">
        <v>12</v>
      </c>
      <c r="C42">
        <v>42.857142857142854</v>
      </c>
      <c r="I42">
        <v>12</v>
      </c>
      <c r="J42">
        <v>66.666666666666671</v>
      </c>
    </row>
    <row r="44" spans="1:10" x14ac:dyDescent="0.2">
      <c r="A44" s="2" t="s">
        <v>6</v>
      </c>
      <c r="H44" s="2" t="s">
        <v>6</v>
      </c>
    </row>
    <row r="45" spans="1:10" x14ac:dyDescent="0.2">
      <c r="A45" s="2" t="s">
        <v>129</v>
      </c>
      <c r="H45" s="2" t="s">
        <v>7</v>
      </c>
    </row>
    <row r="46" spans="1:10" x14ac:dyDescent="0.2">
      <c r="A46" s="2" t="s">
        <v>224</v>
      </c>
      <c r="H46" s="2" t="s">
        <v>227</v>
      </c>
    </row>
    <row r="47" spans="1:10" x14ac:dyDescent="0.2">
      <c r="A47" s="2" t="s">
        <v>225</v>
      </c>
      <c r="H47" s="2" t="s">
        <v>228</v>
      </c>
    </row>
    <row r="48" spans="1:10" x14ac:dyDescent="0.2">
      <c r="A48" s="2" t="s">
        <v>226</v>
      </c>
      <c r="H48" s="3" t="s">
        <v>229</v>
      </c>
    </row>
    <row r="49" spans="1:8" x14ac:dyDescent="0.2">
      <c r="A49" s="2" t="s">
        <v>37</v>
      </c>
      <c r="H49" s="2" t="s">
        <v>37</v>
      </c>
    </row>
    <row r="50" spans="1:8" x14ac:dyDescent="0.2">
      <c r="A50" s="2" t="s">
        <v>38</v>
      </c>
      <c r="H50" s="2" t="s">
        <v>38</v>
      </c>
    </row>
    <row r="51" spans="1:8" x14ac:dyDescent="0.2">
      <c r="A51" s="3" t="s">
        <v>13</v>
      </c>
      <c r="H51" s="3" t="s">
        <v>13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BB74-2603-4D98-BED7-66D71B2D988B}">
  <dimension ref="A1:L51"/>
  <sheetViews>
    <sheetView workbookViewId="0">
      <selection activeCell="H44" sqref="H44:H51"/>
    </sheetView>
  </sheetViews>
  <sheetFormatPr baseColWidth="10" defaultColWidth="8.83203125" defaultRowHeight="15" x14ac:dyDescent="0.2"/>
  <cols>
    <col min="7" max="7" width="8.83203125" style="1"/>
  </cols>
  <sheetData>
    <row r="1" spans="1:12" x14ac:dyDescent="0.2">
      <c r="A1" t="s">
        <v>9</v>
      </c>
      <c r="C1" t="s">
        <v>391</v>
      </c>
      <c r="H1" t="s">
        <v>10</v>
      </c>
      <c r="J1" t="s">
        <v>391</v>
      </c>
    </row>
    <row r="2" spans="1:12" x14ac:dyDescent="0.2">
      <c r="A2" t="s">
        <v>61</v>
      </c>
      <c r="B2" t="s">
        <v>1</v>
      </c>
      <c r="C2" t="s">
        <v>2</v>
      </c>
      <c r="D2" t="s">
        <v>4</v>
      </c>
      <c r="E2" t="s">
        <v>95</v>
      </c>
      <c r="H2" t="s">
        <v>61</v>
      </c>
      <c r="I2" t="s">
        <v>1</v>
      </c>
      <c r="J2" t="s">
        <v>2</v>
      </c>
      <c r="K2" t="s">
        <v>4</v>
      </c>
      <c r="L2" t="s">
        <v>95</v>
      </c>
    </row>
    <row r="3" spans="1:12" ht="16" x14ac:dyDescent="0.25">
      <c r="A3" t="s">
        <v>32</v>
      </c>
      <c r="B3">
        <v>1</v>
      </c>
      <c r="C3">
        <v>44.940476189999998</v>
      </c>
      <c r="D3">
        <f>AVERAGE(C3:C14)</f>
        <v>65.209412406666672</v>
      </c>
      <c r="E3" s="4">
        <f>STDEV(C3:C14) /SQRT(COUNT(C3:C14))</f>
        <v>3.3932413386357063</v>
      </c>
      <c r="H3" t="s">
        <v>32</v>
      </c>
      <c r="I3">
        <v>1</v>
      </c>
      <c r="J3">
        <v>81.666666666666657</v>
      </c>
      <c r="K3">
        <f>AVERAGE(J3:J14)</f>
        <v>73.828947448237656</v>
      </c>
      <c r="L3" s="4">
        <f>STDEV(J3:J14) /SQRT(COUNT(J3:J14))</f>
        <v>1.3194552604265797</v>
      </c>
    </row>
    <row r="4" spans="1:12" x14ac:dyDescent="0.2">
      <c r="B4">
        <v>2</v>
      </c>
      <c r="C4">
        <v>44.038155799999998</v>
      </c>
      <c r="I4">
        <v>2</v>
      </c>
      <c r="J4">
        <v>69.425287356321832</v>
      </c>
    </row>
    <row r="5" spans="1:12" x14ac:dyDescent="0.2">
      <c r="B5">
        <v>3</v>
      </c>
      <c r="C5">
        <v>60</v>
      </c>
      <c r="I5">
        <v>3</v>
      </c>
      <c r="J5">
        <v>70</v>
      </c>
    </row>
    <row r="6" spans="1:12" x14ac:dyDescent="0.2">
      <c r="B6">
        <v>4</v>
      </c>
      <c r="C6">
        <v>60.714285709999999</v>
      </c>
      <c r="I6">
        <v>4</v>
      </c>
      <c r="J6">
        <v>73.714285714285722</v>
      </c>
    </row>
    <row r="7" spans="1:12" x14ac:dyDescent="0.2">
      <c r="B7">
        <v>5</v>
      </c>
      <c r="C7">
        <v>79.144385029999995</v>
      </c>
      <c r="I7">
        <v>5</v>
      </c>
      <c r="J7">
        <v>79.166666666666657</v>
      </c>
    </row>
    <row r="8" spans="1:12" x14ac:dyDescent="0.2">
      <c r="B8">
        <v>6</v>
      </c>
      <c r="C8">
        <v>65.294117650000004</v>
      </c>
      <c r="I8">
        <v>6</v>
      </c>
      <c r="J8">
        <v>75</v>
      </c>
    </row>
    <row r="9" spans="1:12" x14ac:dyDescent="0.2">
      <c r="B9">
        <v>7</v>
      </c>
      <c r="C9">
        <v>72.141706920000004</v>
      </c>
      <c r="I9">
        <v>7</v>
      </c>
      <c r="J9">
        <v>77.09359605911331</v>
      </c>
    </row>
    <row r="10" spans="1:12" x14ac:dyDescent="0.2">
      <c r="B10">
        <v>8</v>
      </c>
      <c r="C10">
        <v>69.924812029999998</v>
      </c>
      <c r="I10">
        <v>8</v>
      </c>
      <c r="J10">
        <v>71.167048054919917</v>
      </c>
    </row>
    <row r="11" spans="1:12" x14ac:dyDescent="0.2">
      <c r="B11">
        <v>9</v>
      </c>
      <c r="C11">
        <v>71.524966259999999</v>
      </c>
      <c r="I11">
        <v>9</v>
      </c>
      <c r="J11">
        <v>75.735294117647058</v>
      </c>
    </row>
    <row r="12" spans="1:12" x14ac:dyDescent="0.2">
      <c r="B12">
        <v>10</v>
      </c>
      <c r="C12">
        <v>79.166666669999998</v>
      </c>
      <c r="I12">
        <v>10</v>
      </c>
      <c r="J12">
        <v>65.359477124183002</v>
      </c>
    </row>
    <row r="13" spans="1:12" x14ac:dyDescent="0.2">
      <c r="B13">
        <v>11</v>
      </c>
      <c r="C13">
        <v>60.714285709999999</v>
      </c>
      <c r="I13">
        <v>11</v>
      </c>
      <c r="J13">
        <v>71.428571428571431</v>
      </c>
    </row>
    <row r="14" spans="1:12" x14ac:dyDescent="0.2">
      <c r="B14">
        <v>12</v>
      </c>
      <c r="C14">
        <v>74.909090910000003</v>
      </c>
      <c r="I14">
        <v>12</v>
      </c>
      <c r="J14">
        <v>76.19047619047619</v>
      </c>
    </row>
    <row r="16" spans="1:12" x14ac:dyDescent="0.2">
      <c r="A16" t="s">
        <v>3</v>
      </c>
      <c r="B16" t="s">
        <v>1</v>
      </c>
      <c r="C16" t="s">
        <v>2</v>
      </c>
      <c r="D16" t="s">
        <v>4</v>
      </c>
      <c r="E16" t="s">
        <v>95</v>
      </c>
      <c r="H16" t="s">
        <v>3</v>
      </c>
      <c r="I16" t="s">
        <v>1</v>
      </c>
      <c r="J16" t="s">
        <v>2</v>
      </c>
      <c r="K16" t="s">
        <v>4</v>
      </c>
      <c r="L16" t="s">
        <v>95</v>
      </c>
    </row>
    <row r="17" spans="1:12" ht="16" x14ac:dyDescent="0.25">
      <c r="A17" t="s">
        <v>504</v>
      </c>
      <c r="B17">
        <v>1</v>
      </c>
      <c r="C17">
        <v>46.969696969696969</v>
      </c>
      <c r="D17">
        <f>AVERAGE(C17:C28)</f>
        <v>65.967779046487323</v>
      </c>
      <c r="E17" s="4">
        <f>STDEV(C17:C28) /SQRT(COUNT(C17:C28))</f>
        <v>2.7443447430022565</v>
      </c>
      <c r="H17" t="s">
        <v>505</v>
      </c>
      <c r="I17">
        <v>1</v>
      </c>
      <c r="J17">
        <v>61.818181818181813</v>
      </c>
      <c r="K17">
        <f>AVERAGE(J17:J28)</f>
        <v>72.153662815132165</v>
      </c>
      <c r="L17" s="4">
        <f>STDEV(J17:J28) /SQRT(COUNT(J17:J28))</f>
        <v>1.8016270420227021</v>
      </c>
    </row>
    <row r="18" spans="1:12" x14ac:dyDescent="0.2">
      <c r="B18">
        <v>2</v>
      </c>
      <c r="C18">
        <v>63.602941176470587</v>
      </c>
      <c r="I18">
        <v>2</v>
      </c>
      <c r="J18">
        <v>70.833333333333343</v>
      </c>
    </row>
    <row r="19" spans="1:12" x14ac:dyDescent="0.2">
      <c r="B19">
        <v>3</v>
      </c>
      <c r="C19">
        <v>46.428571428571431</v>
      </c>
      <c r="I19">
        <v>3</v>
      </c>
      <c r="J19">
        <v>77.450980392156865</v>
      </c>
    </row>
    <row r="20" spans="1:12" x14ac:dyDescent="0.2">
      <c r="B20">
        <v>4</v>
      </c>
      <c r="C20">
        <v>67.5</v>
      </c>
      <c r="I20">
        <v>4</v>
      </c>
      <c r="J20">
        <v>81.868131868131869</v>
      </c>
    </row>
    <row r="21" spans="1:12" x14ac:dyDescent="0.2">
      <c r="B21">
        <v>5</v>
      </c>
      <c r="C21">
        <v>69.318181818181813</v>
      </c>
      <c r="I21">
        <v>5</v>
      </c>
      <c r="J21">
        <v>84.226190476190482</v>
      </c>
    </row>
    <row r="22" spans="1:12" x14ac:dyDescent="0.2">
      <c r="B22">
        <v>6</v>
      </c>
      <c r="C22">
        <v>66.826156299840505</v>
      </c>
      <c r="I22">
        <v>6</v>
      </c>
      <c r="J22">
        <v>71.71052631578948</v>
      </c>
    </row>
    <row r="23" spans="1:12" x14ac:dyDescent="0.2">
      <c r="B23">
        <v>7</v>
      </c>
      <c r="C23">
        <v>69.007803790412481</v>
      </c>
      <c r="I23">
        <v>7</v>
      </c>
      <c r="J23">
        <v>70.053475935828871</v>
      </c>
    </row>
    <row r="24" spans="1:12" x14ac:dyDescent="0.2">
      <c r="B24">
        <v>8</v>
      </c>
      <c r="C24">
        <v>73.235294117647058</v>
      </c>
      <c r="I24">
        <v>8</v>
      </c>
      <c r="J24">
        <v>71.956521739130437</v>
      </c>
    </row>
    <row r="25" spans="1:12" x14ac:dyDescent="0.2">
      <c r="B25">
        <v>9</v>
      </c>
      <c r="C25">
        <v>73.231031543052012</v>
      </c>
      <c r="I25">
        <v>9</v>
      </c>
      <c r="J25">
        <v>67.845117845117841</v>
      </c>
    </row>
    <row r="26" spans="1:12" x14ac:dyDescent="0.2">
      <c r="B26">
        <v>10</v>
      </c>
      <c r="C26">
        <v>74.615384615384613</v>
      </c>
      <c r="I26">
        <v>10</v>
      </c>
      <c r="J26">
        <v>70</v>
      </c>
    </row>
    <row r="27" spans="1:12" x14ac:dyDescent="0.2">
      <c r="B27">
        <v>11</v>
      </c>
      <c r="C27">
        <v>69.449715370018964</v>
      </c>
      <c r="I27">
        <v>11</v>
      </c>
      <c r="J27">
        <v>70.537634408602145</v>
      </c>
    </row>
    <row r="28" spans="1:12" x14ac:dyDescent="0.2">
      <c r="B28">
        <v>12</v>
      </c>
      <c r="C28">
        <v>71.428571428571431</v>
      </c>
      <c r="I28">
        <v>12</v>
      </c>
      <c r="J28">
        <v>67.543859649122808</v>
      </c>
    </row>
    <row r="30" spans="1:12" x14ac:dyDescent="0.2">
      <c r="A30" t="s">
        <v>5</v>
      </c>
      <c r="B30" t="s">
        <v>1</v>
      </c>
      <c r="C30" t="s">
        <v>2</v>
      </c>
      <c r="D30" t="s">
        <v>4</v>
      </c>
      <c r="E30" t="s">
        <v>95</v>
      </c>
      <c r="H30" t="s">
        <v>5</v>
      </c>
      <c r="I30" t="s">
        <v>1</v>
      </c>
      <c r="J30" t="s">
        <v>2</v>
      </c>
      <c r="K30" t="s">
        <v>4</v>
      </c>
      <c r="L30" t="s">
        <v>95</v>
      </c>
    </row>
    <row r="31" spans="1:12" ht="16" x14ac:dyDescent="0.25">
      <c r="A31" t="s">
        <v>506</v>
      </c>
      <c r="B31">
        <v>1</v>
      </c>
      <c r="C31">
        <v>50.956937799999999</v>
      </c>
      <c r="D31">
        <f>AVERAGE(C31:C42)</f>
        <v>46.954317450833337</v>
      </c>
      <c r="E31" s="4">
        <f>STDEV(C31:C42) /SQRT(COUNT(C31:C42))</f>
        <v>2.9004874829674634</v>
      </c>
      <c r="H31" t="s">
        <v>507</v>
      </c>
      <c r="I31">
        <v>1</v>
      </c>
      <c r="J31">
        <v>30</v>
      </c>
      <c r="K31">
        <f>AVERAGE(J31:J42)</f>
        <v>52.096900513867723</v>
      </c>
      <c r="L31" s="4">
        <f>STDEV(J31:J42) /SQRT(COUNT(J31:J42))</f>
        <v>4.0423010834859801</v>
      </c>
    </row>
    <row r="32" spans="1:12" x14ac:dyDescent="0.2">
      <c r="B32">
        <v>2</v>
      </c>
      <c r="C32">
        <v>53.260869569999997</v>
      </c>
      <c r="I32">
        <v>2</v>
      </c>
      <c r="J32">
        <v>76.696832579185525</v>
      </c>
    </row>
    <row r="33" spans="1:10" x14ac:dyDescent="0.2">
      <c r="B33">
        <v>3</v>
      </c>
      <c r="C33">
        <v>34.580419579999997</v>
      </c>
      <c r="I33">
        <v>3</v>
      </c>
      <c r="J33">
        <v>40.869565217391305</v>
      </c>
    </row>
    <row r="34" spans="1:10" x14ac:dyDescent="0.2">
      <c r="B34">
        <v>4</v>
      </c>
      <c r="C34">
        <v>55.772495759999998</v>
      </c>
      <c r="I34">
        <v>4</v>
      </c>
      <c r="J34">
        <v>40.17094017094017</v>
      </c>
    </row>
    <row r="35" spans="1:10" x14ac:dyDescent="0.2">
      <c r="B35">
        <v>5</v>
      </c>
      <c r="C35">
        <v>43.108974359999998</v>
      </c>
      <c r="I35">
        <v>5</v>
      </c>
      <c r="J35">
        <v>43.7593984962406</v>
      </c>
    </row>
    <row r="36" spans="1:10" x14ac:dyDescent="0.2">
      <c r="B36">
        <v>6</v>
      </c>
      <c r="C36">
        <v>51.797040170000002</v>
      </c>
      <c r="I36">
        <v>6</v>
      </c>
      <c r="J36">
        <v>63.186813186813183</v>
      </c>
    </row>
    <row r="37" spans="1:10" x14ac:dyDescent="0.2">
      <c r="B37">
        <v>7</v>
      </c>
      <c r="C37">
        <v>45.23809524</v>
      </c>
      <c r="I37">
        <v>7</v>
      </c>
      <c r="J37">
        <v>54.807692307692307</v>
      </c>
    </row>
    <row r="38" spans="1:10" x14ac:dyDescent="0.2">
      <c r="B38">
        <v>8</v>
      </c>
      <c r="C38">
        <v>31.972789120000002</v>
      </c>
      <c r="I38">
        <v>8</v>
      </c>
      <c r="J38">
        <v>55.670731707317074</v>
      </c>
    </row>
    <row r="39" spans="1:10" x14ac:dyDescent="0.2">
      <c r="B39">
        <v>9</v>
      </c>
      <c r="C39">
        <v>62.484472050000001</v>
      </c>
      <c r="I39">
        <v>9</v>
      </c>
      <c r="J39">
        <v>58.333333333333336</v>
      </c>
    </row>
    <row r="40" spans="1:10" x14ac:dyDescent="0.2">
      <c r="B40">
        <v>10</v>
      </c>
      <c r="C40">
        <v>57.777777780000001</v>
      </c>
      <c r="I40">
        <v>10</v>
      </c>
      <c r="J40">
        <v>64.42307692307692</v>
      </c>
    </row>
    <row r="41" spans="1:10" x14ac:dyDescent="0.2">
      <c r="B41">
        <v>11</v>
      </c>
      <c r="C41">
        <v>43.168604649999999</v>
      </c>
      <c r="I41">
        <v>11</v>
      </c>
      <c r="J41">
        <v>62.179487179487182</v>
      </c>
    </row>
    <row r="42" spans="1:10" x14ac:dyDescent="0.2">
      <c r="B42">
        <v>12</v>
      </c>
      <c r="C42">
        <v>33.333333330000002</v>
      </c>
      <c r="I42">
        <v>12</v>
      </c>
      <c r="J42">
        <v>35.064935064935064</v>
      </c>
    </row>
    <row r="44" spans="1:10" x14ac:dyDescent="0.2">
      <c r="A44" s="2" t="s">
        <v>6</v>
      </c>
      <c r="H44" s="2" t="s">
        <v>6</v>
      </c>
    </row>
    <row r="45" spans="1:10" x14ac:dyDescent="0.2">
      <c r="A45" s="2" t="s">
        <v>18</v>
      </c>
      <c r="H45" s="2" t="s">
        <v>18</v>
      </c>
    </row>
    <row r="46" spans="1:10" x14ac:dyDescent="0.2">
      <c r="A46" s="2" t="s">
        <v>508</v>
      </c>
      <c r="H46" s="2" t="s">
        <v>511</v>
      </c>
    </row>
    <row r="47" spans="1:10" x14ac:dyDescent="0.2">
      <c r="A47" s="2" t="s">
        <v>509</v>
      </c>
      <c r="H47" s="2" t="s">
        <v>512</v>
      </c>
    </row>
    <row r="48" spans="1:10" x14ac:dyDescent="0.2">
      <c r="A48" s="2" t="s">
        <v>510</v>
      </c>
      <c r="H48" s="2" t="s">
        <v>513</v>
      </c>
    </row>
    <row r="49" spans="1:8" x14ac:dyDescent="0.2">
      <c r="A49" s="2" t="s">
        <v>37</v>
      </c>
      <c r="H49" s="2" t="s">
        <v>37</v>
      </c>
    </row>
    <row r="50" spans="1:8" x14ac:dyDescent="0.2">
      <c r="A50" s="2" t="s">
        <v>38</v>
      </c>
      <c r="H50" s="2" t="s">
        <v>38</v>
      </c>
    </row>
    <row r="51" spans="1:8" x14ac:dyDescent="0.2">
      <c r="A51" s="3" t="s">
        <v>13</v>
      </c>
      <c r="H51" s="3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E5210-2B8B-48B7-BEB4-B7A62E1B2EC7}">
  <dimension ref="A1:AM183"/>
  <sheetViews>
    <sheetView topLeftCell="U28" zoomScale="95" zoomScaleNormal="95" workbookViewId="0">
      <selection activeCell="AI43" sqref="AI43:AI53"/>
    </sheetView>
  </sheetViews>
  <sheetFormatPr baseColWidth="10" defaultColWidth="11.5" defaultRowHeight="15" x14ac:dyDescent="0.2"/>
  <cols>
    <col min="7" max="7" width="11.5" style="1"/>
    <col min="34" max="34" width="11.5" style="1"/>
  </cols>
  <sheetData>
    <row r="1" spans="1:39" x14ac:dyDescent="0.2">
      <c r="A1" t="s">
        <v>9</v>
      </c>
      <c r="C1" t="s">
        <v>390</v>
      </c>
      <c r="H1" t="s">
        <v>10</v>
      </c>
      <c r="J1" t="s">
        <v>391</v>
      </c>
      <c r="T1" s="1"/>
      <c r="U1" t="s">
        <v>11</v>
      </c>
      <c r="W1" t="s">
        <v>391</v>
      </c>
      <c r="AA1" s="1"/>
      <c r="AB1" t="s">
        <v>12</v>
      </c>
      <c r="AD1" t="s">
        <v>391</v>
      </c>
      <c r="AI1" t="s">
        <v>14</v>
      </c>
      <c r="AK1" t="s">
        <v>391</v>
      </c>
    </row>
    <row r="2" spans="1:39" x14ac:dyDescent="0.2">
      <c r="H2" t="s">
        <v>300</v>
      </c>
      <c r="I2" t="s">
        <v>301</v>
      </c>
      <c r="J2" t="s">
        <v>302</v>
      </c>
      <c r="K2" t="s">
        <v>223</v>
      </c>
      <c r="L2" t="s">
        <v>95</v>
      </c>
      <c r="N2" t="s">
        <v>300</v>
      </c>
      <c r="O2" t="s">
        <v>301</v>
      </c>
      <c r="P2" t="s">
        <v>302</v>
      </c>
      <c r="Q2" t="s">
        <v>223</v>
      </c>
      <c r="R2" t="s">
        <v>95</v>
      </c>
      <c r="T2" s="1"/>
      <c r="U2" t="s">
        <v>61</v>
      </c>
      <c r="V2" t="s">
        <v>1</v>
      </c>
      <c r="W2" t="s">
        <v>2</v>
      </c>
      <c r="X2" t="s">
        <v>4</v>
      </c>
      <c r="Y2" t="s">
        <v>95</v>
      </c>
      <c r="AA2" s="1"/>
    </row>
    <row r="3" spans="1:39" ht="16" x14ac:dyDescent="0.25">
      <c r="A3" t="s">
        <v>61</v>
      </c>
      <c r="B3" t="s">
        <v>1</v>
      </c>
      <c r="C3" t="s">
        <v>2</v>
      </c>
      <c r="D3" t="s">
        <v>4</v>
      </c>
      <c r="E3" t="s">
        <v>95</v>
      </c>
      <c r="H3" t="s">
        <v>309</v>
      </c>
      <c r="I3" t="s">
        <v>303</v>
      </c>
      <c r="J3">
        <v>407</v>
      </c>
      <c r="K3">
        <f>AVERAGE(J3:J34)</f>
        <v>315.32291666666669</v>
      </c>
      <c r="L3">
        <f>STDEV(J3:J34)/SQRT(COUNT(J3:J34))</f>
        <v>15.008521208479099</v>
      </c>
      <c r="N3" t="s">
        <v>309</v>
      </c>
      <c r="O3" t="s">
        <v>310</v>
      </c>
      <c r="P3">
        <v>521.33333333333337</v>
      </c>
      <c r="Q3">
        <f>AVERAGE(P3:P34)</f>
        <v>503.42708333333331</v>
      </c>
      <c r="R3">
        <f>STDEV(P3:P34)/SQRT(COUNT(P3:P34))</f>
        <v>17.9315906484719</v>
      </c>
      <c r="T3" s="1"/>
      <c r="U3" t="s">
        <v>32</v>
      </c>
      <c r="V3">
        <v>1</v>
      </c>
      <c r="W3">
        <v>45.476190476190482</v>
      </c>
      <c r="X3">
        <f>AVERAGE(W3:W14)</f>
        <v>55.823960653522619</v>
      </c>
      <c r="Y3" s="4">
        <f>STDEV(W3:W14) /SQRT(COUNT(W3:W14))</f>
        <v>2.9163448949590474</v>
      </c>
      <c r="AA3" s="1"/>
      <c r="AB3" t="s">
        <v>61</v>
      </c>
      <c r="AC3" t="s">
        <v>1</v>
      </c>
      <c r="AD3" t="s">
        <v>2</v>
      </c>
      <c r="AE3" t="s">
        <v>4</v>
      </c>
      <c r="AF3" t="s">
        <v>95</v>
      </c>
      <c r="AI3" t="s">
        <v>61</v>
      </c>
      <c r="AJ3" t="s">
        <v>1</v>
      </c>
      <c r="AK3" t="s">
        <v>2</v>
      </c>
      <c r="AL3" t="s">
        <v>4</v>
      </c>
      <c r="AM3" t="s">
        <v>95</v>
      </c>
    </row>
    <row r="4" spans="1:39" ht="16" x14ac:dyDescent="0.25">
      <c r="A4" t="s">
        <v>32</v>
      </c>
      <c r="B4">
        <v>1</v>
      </c>
      <c r="C4">
        <v>77.804878048780495</v>
      </c>
      <c r="D4">
        <v>68.527203128012701</v>
      </c>
      <c r="E4" s="4">
        <f>STDEV(C4:C15) /SQRT(COUNT(C4:C15))</f>
        <v>1.6863282205509722</v>
      </c>
      <c r="J4">
        <v>334.66666666666669</v>
      </c>
      <c r="P4">
        <v>478.66666666666669</v>
      </c>
      <c r="T4" s="1"/>
      <c r="V4">
        <v>2</v>
      </c>
      <c r="W4">
        <v>51.759530791788855</v>
      </c>
      <c r="AA4" s="1"/>
      <c r="AB4" t="s">
        <v>514</v>
      </c>
      <c r="AC4">
        <v>1</v>
      </c>
      <c r="AD4">
        <v>78.623188405797094</v>
      </c>
      <c r="AE4">
        <f>AVERAGE(AD4:AD11)</f>
        <v>73.297338147692329</v>
      </c>
      <c r="AF4" s="4">
        <f>STDEV(AD4:AD11) /SQRT(COUNT(AD4:AD11))</f>
        <v>2.6680311350404078</v>
      </c>
      <c r="AI4" t="s">
        <v>514</v>
      </c>
      <c r="AJ4">
        <v>1</v>
      </c>
      <c r="AK4">
        <v>78.362573099415201</v>
      </c>
      <c r="AL4">
        <f>AVERAGE(AK4:AK11)</f>
        <v>73.983881293285322</v>
      </c>
      <c r="AM4" s="4">
        <f>STDEV(AK4:AK11) /SQRT(COUNT(AK4:AK11))</f>
        <v>2.1177790750287597</v>
      </c>
    </row>
    <row r="5" spans="1:39" x14ac:dyDescent="0.2">
      <c r="A5" t="s">
        <v>233</v>
      </c>
      <c r="B5">
        <v>2</v>
      </c>
      <c r="C5">
        <v>62.637362637362642</v>
      </c>
      <c r="J5">
        <v>347.66666666666669</v>
      </c>
      <c r="P5">
        <v>614.66666666666663</v>
      </c>
      <c r="T5" s="1"/>
      <c r="V5">
        <v>3</v>
      </c>
      <c r="W5">
        <v>60.434782608695656</v>
      </c>
      <c r="AA5" s="1"/>
      <c r="AC5">
        <v>2</v>
      </c>
      <c r="AD5">
        <v>73.949579831932766</v>
      </c>
      <c r="AJ5">
        <v>2</v>
      </c>
      <c r="AK5">
        <v>75.837320574162675</v>
      </c>
    </row>
    <row r="6" spans="1:39" x14ac:dyDescent="0.2">
      <c r="B6">
        <v>3</v>
      </c>
      <c r="C6">
        <v>68.148148148148152</v>
      </c>
      <c r="J6">
        <v>236.66666666666666</v>
      </c>
      <c r="P6">
        <v>278.33333333333331</v>
      </c>
      <c r="T6" s="1"/>
      <c r="V6">
        <v>4</v>
      </c>
      <c r="W6">
        <v>45.716053201360964</v>
      </c>
      <c r="AA6" s="1"/>
      <c r="AC6">
        <v>3</v>
      </c>
      <c r="AD6">
        <v>57.777777777777779</v>
      </c>
      <c r="AJ6">
        <v>3</v>
      </c>
      <c r="AK6">
        <v>81.196581196581192</v>
      </c>
    </row>
    <row r="7" spans="1:39" x14ac:dyDescent="0.2">
      <c r="B7">
        <v>4</v>
      </c>
      <c r="C7">
        <v>68.336314847942759</v>
      </c>
      <c r="J7">
        <v>176.33333333333334</v>
      </c>
      <c r="P7">
        <v>309.33333333333331</v>
      </c>
      <c r="T7" s="1"/>
      <c r="V7">
        <v>5</v>
      </c>
      <c r="W7">
        <v>52.631578947368418</v>
      </c>
      <c r="AA7" s="1"/>
      <c r="AC7">
        <v>4</v>
      </c>
      <c r="AD7">
        <v>81.25</v>
      </c>
      <c r="AJ7">
        <v>4</v>
      </c>
      <c r="AK7">
        <v>63.13725490196078</v>
      </c>
    </row>
    <row r="8" spans="1:39" x14ac:dyDescent="0.2">
      <c r="B8">
        <v>5</v>
      </c>
      <c r="C8">
        <v>70.512820512820525</v>
      </c>
      <c r="J8">
        <v>283.33333333333331</v>
      </c>
      <c r="P8">
        <v>571</v>
      </c>
      <c r="T8" s="1"/>
      <c r="V8">
        <v>6</v>
      </c>
      <c r="W8">
        <v>69.505494505494511</v>
      </c>
      <c r="AA8" s="1"/>
      <c r="AC8">
        <v>5</v>
      </c>
      <c r="AD8">
        <v>67.543859649122808</v>
      </c>
      <c r="AJ8">
        <v>5</v>
      </c>
      <c r="AK8">
        <v>72.61904761904762</v>
      </c>
    </row>
    <row r="9" spans="1:39" x14ac:dyDescent="0.2">
      <c r="B9">
        <v>6</v>
      </c>
      <c r="C9">
        <v>76.455026455026456</v>
      </c>
      <c r="J9">
        <v>371.66666666666669</v>
      </c>
      <c r="P9">
        <v>564</v>
      </c>
      <c r="T9" s="1"/>
      <c r="V9">
        <v>7</v>
      </c>
      <c r="W9">
        <v>61.274509803921575</v>
      </c>
      <c r="AA9" s="1"/>
      <c r="AC9">
        <v>6</v>
      </c>
      <c r="AD9">
        <v>77.777777777777771</v>
      </c>
      <c r="AJ9">
        <v>6</v>
      </c>
      <c r="AK9">
        <v>77.38095238095238</v>
      </c>
    </row>
    <row r="10" spans="1:39" x14ac:dyDescent="0.2">
      <c r="B10">
        <v>7</v>
      </c>
      <c r="C10">
        <v>63.305322128851543</v>
      </c>
      <c r="J10">
        <v>513</v>
      </c>
      <c r="P10">
        <v>608</v>
      </c>
      <c r="T10" s="1"/>
      <c r="V10">
        <v>8</v>
      </c>
      <c r="W10">
        <v>42.605526875189796</v>
      </c>
      <c r="AA10" s="1"/>
      <c r="AC10">
        <v>7</v>
      </c>
      <c r="AD10">
        <v>76.785714285714278</v>
      </c>
      <c r="AJ10">
        <v>7</v>
      </c>
      <c r="AK10">
        <v>75.837320574162675</v>
      </c>
    </row>
    <row r="11" spans="1:39" x14ac:dyDescent="0.2">
      <c r="B11">
        <v>8</v>
      </c>
      <c r="C11">
        <v>57.222222222222221</v>
      </c>
      <c r="J11">
        <v>333.66666666666669</v>
      </c>
      <c r="P11">
        <v>603.66666666666663</v>
      </c>
      <c r="T11" s="1"/>
      <c r="V11">
        <v>9</v>
      </c>
      <c r="W11">
        <v>72.334368530020697</v>
      </c>
      <c r="AA11" s="1"/>
      <c r="AC11">
        <v>8</v>
      </c>
      <c r="AD11">
        <v>72.67080745341616</v>
      </c>
      <c r="AJ11">
        <v>8</v>
      </c>
      <c r="AK11">
        <v>67.5</v>
      </c>
    </row>
    <row r="12" spans="1:39" x14ac:dyDescent="0.2">
      <c r="B12">
        <v>9</v>
      </c>
      <c r="C12">
        <v>72.35294117647058</v>
      </c>
      <c r="J12">
        <v>334</v>
      </c>
      <c r="P12">
        <v>450</v>
      </c>
      <c r="T12" s="1"/>
      <c r="V12">
        <v>10</v>
      </c>
      <c r="W12">
        <v>62.33031674208145</v>
      </c>
      <c r="AA12" s="1"/>
    </row>
    <row r="13" spans="1:39" x14ac:dyDescent="0.2">
      <c r="B13">
        <v>10</v>
      </c>
      <c r="C13">
        <v>68.261562998405111</v>
      </c>
      <c r="J13">
        <v>185.66666666666666</v>
      </c>
      <c r="P13">
        <v>277.66666666666669</v>
      </c>
      <c r="T13" s="1"/>
      <c r="V13">
        <v>11</v>
      </c>
      <c r="W13">
        <v>44.485842026825637</v>
      </c>
      <c r="AA13" s="1"/>
      <c r="AB13" t="s">
        <v>3</v>
      </c>
      <c r="AC13" t="s">
        <v>1</v>
      </c>
      <c r="AD13" t="s">
        <v>2</v>
      </c>
      <c r="AE13" t="s">
        <v>4</v>
      </c>
      <c r="AF13" t="s">
        <v>95</v>
      </c>
      <c r="AI13" t="s">
        <v>3</v>
      </c>
      <c r="AJ13" t="s">
        <v>1</v>
      </c>
      <c r="AK13" t="s">
        <v>2</v>
      </c>
      <c r="AL13" t="s">
        <v>4</v>
      </c>
      <c r="AM13" t="s">
        <v>95</v>
      </c>
    </row>
    <row r="14" spans="1:39" ht="16" x14ac:dyDescent="0.25">
      <c r="B14">
        <v>11</v>
      </c>
      <c r="C14">
        <v>65.659543109801035</v>
      </c>
      <c r="J14">
        <v>149</v>
      </c>
      <c r="P14">
        <v>328.33333333333331</v>
      </c>
      <c r="T14" s="1"/>
      <c r="V14">
        <v>12</v>
      </c>
      <c r="W14">
        <v>61.333333333333336</v>
      </c>
      <c r="AA14" s="1"/>
      <c r="AB14" t="s">
        <v>515</v>
      </c>
      <c r="AC14">
        <v>1</v>
      </c>
      <c r="AD14">
        <v>72.38095238095238</v>
      </c>
      <c r="AE14">
        <f>AVERAGE(AD14:AD21)</f>
        <v>73.839351279282624</v>
      </c>
      <c r="AF14" s="4">
        <f>STDEV(AD14:AD21) /SQRT(COUNT(AD14:AD21))</f>
        <v>1.7288260318355027</v>
      </c>
      <c r="AI14" t="s">
        <v>515</v>
      </c>
      <c r="AJ14">
        <v>1</v>
      </c>
      <c r="AK14">
        <v>86.607142857142861</v>
      </c>
      <c r="AL14">
        <f>AVERAGE(AK14:AK21)</f>
        <v>70.593261776133559</v>
      </c>
      <c r="AM14" s="4">
        <f>STDEV(AK14:AK21) /SQRT(COUNT(AK14:AK21))</f>
        <v>4.5605797879406067</v>
      </c>
    </row>
    <row r="15" spans="1:39" x14ac:dyDescent="0.2">
      <c r="B15">
        <v>12</v>
      </c>
      <c r="C15">
        <v>71.630295250320927</v>
      </c>
      <c r="J15">
        <v>385.66666666666669</v>
      </c>
      <c r="P15">
        <v>604.33333333333337</v>
      </c>
      <c r="T15" s="1"/>
      <c r="AA15" s="1"/>
      <c r="AC15">
        <v>2</v>
      </c>
      <c r="AD15">
        <v>77.38095238095238</v>
      </c>
      <c r="AJ15">
        <v>2</v>
      </c>
      <c r="AK15">
        <v>80.382775119617222</v>
      </c>
    </row>
    <row r="16" spans="1:39" x14ac:dyDescent="0.2">
      <c r="J16">
        <v>333.33333333333331</v>
      </c>
      <c r="P16">
        <v>556.33333333333337</v>
      </c>
      <c r="T16" s="1"/>
      <c r="U16" t="s">
        <v>3</v>
      </c>
      <c r="V16" t="s">
        <v>1</v>
      </c>
      <c r="W16" t="s">
        <v>2</v>
      </c>
      <c r="X16" t="s">
        <v>4</v>
      </c>
      <c r="Y16" t="s">
        <v>95</v>
      </c>
      <c r="AA16" s="1"/>
      <c r="AC16">
        <v>3</v>
      </c>
      <c r="AD16">
        <v>74.603174603174608</v>
      </c>
      <c r="AJ16">
        <v>3</v>
      </c>
      <c r="AK16">
        <v>83.216783216783213</v>
      </c>
    </row>
    <row r="17" spans="1:39" ht="16" x14ac:dyDescent="0.25">
      <c r="A17" t="s">
        <v>3</v>
      </c>
      <c r="B17" t="s">
        <v>1</v>
      </c>
      <c r="C17" t="s">
        <v>2</v>
      </c>
      <c r="D17" t="s">
        <v>4</v>
      </c>
      <c r="E17" t="s">
        <v>95</v>
      </c>
      <c r="J17">
        <v>275.66666666666669</v>
      </c>
      <c r="P17">
        <v>425.33333333333331</v>
      </c>
      <c r="T17" s="1"/>
      <c r="U17" t="s">
        <v>48</v>
      </c>
      <c r="V17">
        <v>1</v>
      </c>
      <c r="W17">
        <v>41.419981498612394</v>
      </c>
      <c r="X17">
        <f>AVERAGE(W17:W28)</f>
        <v>59.430811664050538</v>
      </c>
      <c r="Y17" s="4">
        <f>STDEV(W17:W28) /SQRT(COUNT(W17:W28))</f>
        <v>3.9638434304476142</v>
      </c>
      <c r="AA17" s="1"/>
      <c r="AC17">
        <v>4</v>
      </c>
      <c r="AD17">
        <v>65.238095238095241</v>
      </c>
      <c r="AJ17">
        <v>4</v>
      </c>
      <c r="AK17">
        <v>65.714285714285722</v>
      </c>
    </row>
    <row r="18" spans="1:39" ht="16" x14ac:dyDescent="0.25">
      <c r="A18" t="s">
        <v>33</v>
      </c>
      <c r="B18">
        <v>1</v>
      </c>
      <c r="C18">
        <v>76.152832674571812</v>
      </c>
      <c r="D18">
        <v>70.258617781327743</v>
      </c>
      <c r="E18" s="4">
        <f>STDEV(C18:C29) /SQRT(COUNT(C18:C29))</f>
        <v>2.0607160134617692</v>
      </c>
      <c r="J18">
        <v>359.33333333333331</v>
      </c>
      <c r="P18">
        <v>566.33333333333337</v>
      </c>
      <c r="T18" s="1"/>
      <c r="V18">
        <v>2</v>
      </c>
      <c r="W18">
        <v>40.911418330773166</v>
      </c>
      <c r="AA18" s="1"/>
      <c r="AC18">
        <v>5</v>
      </c>
      <c r="AD18">
        <v>68.484848484848484</v>
      </c>
      <c r="AJ18">
        <v>5</v>
      </c>
      <c r="AK18">
        <v>72.888616891064871</v>
      </c>
    </row>
    <row r="19" spans="1:39" x14ac:dyDescent="0.2">
      <c r="A19" t="s">
        <v>233</v>
      </c>
      <c r="B19">
        <v>2</v>
      </c>
      <c r="C19">
        <v>57.254901960784309</v>
      </c>
      <c r="J19">
        <v>408.66666666666669</v>
      </c>
      <c r="P19">
        <v>605</v>
      </c>
      <c r="T19" s="1"/>
      <c r="V19">
        <v>3</v>
      </c>
      <c r="W19">
        <v>42.857142857142854</v>
      </c>
      <c r="AA19" s="1"/>
      <c r="AC19">
        <v>6</v>
      </c>
      <c r="AD19">
        <v>76.973684210526315</v>
      </c>
      <c r="AJ19">
        <v>6</v>
      </c>
      <c r="AK19">
        <v>67.307692307692307</v>
      </c>
    </row>
    <row r="20" spans="1:39" x14ac:dyDescent="0.2">
      <c r="B20">
        <v>3</v>
      </c>
      <c r="C20">
        <v>68.506493506493513</v>
      </c>
      <c r="J20">
        <v>290.33333333333331</v>
      </c>
      <c r="P20">
        <v>547.66666666666663</v>
      </c>
      <c r="T20" s="1"/>
      <c r="V20">
        <v>4</v>
      </c>
      <c r="W20">
        <v>87.489361702127667</v>
      </c>
      <c r="AA20" s="1"/>
      <c r="AC20">
        <v>7</v>
      </c>
      <c r="AD20">
        <v>75.845410628019323</v>
      </c>
      <c r="AJ20">
        <v>7</v>
      </c>
      <c r="AK20">
        <v>47.863247863247864</v>
      </c>
    </row>
    <row r="21" spans="1:39" x14ac:dyDescent="0.2">
      <c r="B21">
        <v>4</v>
      </c>
      <c r="C21">
        <v>67.133620689655174</v>
      </c>
      <c r="J21">
        <v>391.66666666666669</v>
      </c>
      <c r="P21">
        <v>529.33333333333337</v>
      </c>
      <c r="T21" s="1"/>
      <c r="V21">
        <v>5</v>
      </c>
      <c r="W21">
        <v>71.3949843260188</v>
      </c>
      <c r="AA21" s="1"/>
      <c r="AC21">
        <v>8</v>
      </c>
      <c r="AD21">
        <v>79.807692307692307</v>
      </c>
      <c r="AJ21">
        <v>8</v>
      </c>
      <c r="AK21">
        <v>60.765550239234443</v>
      </c>
    </row>
    <row r="22" spans="1:39" x14ac:dyDescent="0.2">
      <c r="B22">
        <v>5</v>
      </c>
      <c r="C22">
        <v>79.797979797979792</v>
      </c>
      <c r="J22">
        <v>334</v>
      </c>
      <c r="P22">
        <v>422</v>
      </c>
      <c r="T22" s="1"/>
      <c r="V22">
        <v>6</v>
      </c>
      <c r="W22">
        <v>71.949078138718178</v>
      </c>
      <c r="AA22" s="1"/>
    </row>
    <row r="23" spans="1:39" x14ac:dyDescent="0.2">
      <c r="B23">
        <v>6</v>
      </c>
      <c r="C23">
        <v>71.90549563430919</v>
      </c>
      <c r="J23">
        <v>231.33333333333334</v>
      </c>
      <c r="P23">
        <v>500.66666666666669</v>
      </c>
      <c r="T23" s="1"/>
      <c r="V23">
        <v>7</v>
      </c>
      <c r="W23">
        <v>56.927386339151042</v>
      </c>
      <c r="AA23" s="1"/>
      <c r="AB23" t="s">
        <v>5</v>
      </c>
      <c r="AC23" t="s">
        <v>1</v>
      </c>
      <c r="AD23" t="s">
        <v>2</v>
      </c>
      <c r="AE23" t="s">
        <v>4</v>
      </c>
      <c r="AF23" t="s">
        <v>95</v>
      </c>
      <c r="AI23" t="s">
        <v>5</v>
      </c>
      <c r="AJ23" t="s">
        <v>1</v>
      </c>
      <c r="AK23" t="s">
        <v>2</v>
      </c>
      <c r="AL23" t="s">
        <v>4</v>
      </c>
      <c r="AM23" t="s">
        <v>95</v>
      </c>
    </row>
    <row r="24" spans="1:39" ht="16" x14ac:dyDescent="0.25">
      <c r="B24">
        <v>7</v>
      </c>
      <c r="C24">
        <v>67.201426024955438</v>
      </c>
      <c r="J24">
        <v>412.33333333333331</v>
      </c>
      <c r="P24">
        <v>503</v>
      </c>
      <c r="T24" s="1"/>
      <c r="V24">
        <v>8</v>
      </c>
      <c r="W24">
        <v>62.823902696985719</v>
      </c>
      <c r="AA24" s="1"/>
      <c r="AB24" t="s">
        <v>297</v>
      </c>
      <c r="AC24">
        <v>1</v>
      </c>
      <c r="AD24">
        <v>83.484162895927597</v>
      </c>
      <c r="AE24">
        <f>AVERAGE(AD24:AD31)</f>
        <v>75.392391372994808</v>
      </c>
      <c r="AF24" s="4">
        <f>STDEV(AD24:AD31) /SQRT(COUNT(AD24:AD31))</f>
        <v>1.72925659134853</v>
      </c>
      <c r="AI24" t="s">
        <v>297</v>
      </c>
      <c r="AJ24">
        <v>1</v>
      </c>
      <c r="AK24">
        <v>72.018489984591682</v>
      </c>
      <c r="AL24">
        <f>AVERAGE(AK24:AK31)</f>
        <v>72.726707677260137</v>
      </c>
      <c r="AM24" s="4">
        <f>STDEV(AK24:AK31) /SQRT(COUNT(AK24:AK31))</f>
        <v>1.5397154658273802</v>
      </c>
    </row>
    <row r="25" spans="1:39" x14ac:dyDescent="0.2">
      <c r="B25">
        <v>8</v>
      </c>
      <c r="C25">
        <v>69.318181818181813</v>
      </c>
      <c r="J25">
        <v>197.66666666666666</v>
      </c>
      <c r="P25">
        <v>480</v>
      </c>
      <c r="T25" s="1"/>
      <c r="V25">
        <v>9</v>
      </c>
      <c r="W25">
        <v>59.05797101449275</v>
      </c>
      <c r="AA25" s="1"/>
      <c r="AC25">
        <v>2</v>
      </c>
      <c r="AD25">
        <v>72.8735632183908</v>
      </c>
      <c r="AJ25">
        <v>2</v>
      </c>
      <c r="AK25">
        <v>76.388888888888886</v>
      </c>
    </row>
    <row r="26" spans="1:39" x14ac:dyDescent="0.2">
      <c r="B26">
        <v>9</v>
      </c>
      <c r="C26">
        <v>68.668076109936578</v>
      </c>
      <c r="J26">
        <v>303</v>
      </c>
      <c r="P26">
        <v>495</v>
      </c>
      <c r="T26" s="1"/>
      <c r="V26">
        <v>10</v>
      </c>
      <c r="W26">
        <v>58.846153846153847</v>
      </c>
      <c r="AA26" s="1"/>
      <c r="AC26">
        <v>3</v>
      </c>
      <c r="AD26">
        <v>70.833333333333343</v>
      </c>
      <c r="AJ26">
        <v>3</v>
      </c>
      <c r="AK26">
        <v>71.940928270042207</v>
      </c>
    </row>
    <row r="27" spans="1:39" x14ac:dyDescent="0.2">
      <c r="B27">
        <v>10</v>
      </c>
      <c r="C27">
        <v>68.596059113300498</v>
      </c>
      <c r="J27">
        <v>354.33333333333331</v>
      </c>
      <c r="P27">
        <v>521</v>
      </c>
      <c r="T27" s="1"/>
      <c r="V27">
        <v>11</v>
      </c>
      <c r="W27">
        <v>56.116015132408577</v>
      </c>
      <c r="AA27" s="1"/>
      <c r="AC27">
        <v>4</v>
      </c>
      <c r="AD27">
        <v>73.214285714285722</v>
      </c>
      <c r="AJ27">
        <v>4</v>
      </c>
      <c r="AK27">
        <v>77.708978328173373</v>
      </c>
    </row>
    <row r="28" spans="1:39" x14ac:dyDescent="0.2">
      <c r="B28">
        <v>11</v>
      </c>
      <c r="C28">
        <v>64.228723404255319</v>
      </c>
      <c r="J28">
        <v>312.66666666666669</v>
      </c>
      <c r="P28">
        <v>577</v>
      </c>
      <c r="T28" s="1"/>
      <c r="V28">
        <v>12</v>
      </c>
      <c r="W28">
        <v>63.376344086021504</v>
      </c>
      <c r="AA28" s="1"/>
      <c r="AC28">
        <v>5</v>
      </c>
      <c r="AD28">
        <v>74.901960784313729</v>
      </c>
      <c r="AJ28">
        <v>5</v>
      </c>
      <c r="AK28">
        <v>72.672064777327932</v>
      </c>
    </row>
    <row r="29" spans="1:39" x14ac:dyDescent="0.2">
      <c r="B29">
        <v>12</v>
      </c>
      <c r="C29">
        <v>84.339622641509436</v>
      </c>
      <c r="J29">
        <v>273.33333333333331</v>
      </c>
      <c r="P29">
        <v>552.33333333333337</v>
      </c>
      <c r="T29" s="1"/>
      <c r="AA29" s="1"/>
      <c r="AC29">
        <v>6</v>
      </c>
      <c r="AD29">
        <v>69.85294117647058</v>
      </c>
      <c r="AJ29">
        <v>6</v>
      </c>
      <c r="AK29">
        <v>72.750977835723603</v>
      </c>
    </row>
    <row r="30" spans="1:39" x14ac:dyDescent="0.2">
      <c r="J30">
        <v>253.33333333333334</v>
      </c>
      <c r="P30">
        <v>582.33333333333337</v>
      </c>
      <c r="T30" s="1"/>
      <c r="U30" t="s">
        <v>5</v>
      </c>
      <c r="V30" t="s">
        <v>1</v>
      </c>
      <c r="W30" t="s">
        <v>2</v>
      </c>
      <c r="X30" t="s">
        <v>4</v>
      </c>
      <c r="Y30" t="s">
        <v>95</v>
      </c>
      <c r="AA30" s="1"/>
      <c r="AC30">
        <v>7</v>
      </c>
      <c r="AD30">
        <v>76.410256410256409</v>
      </c>
      <c r="AJ30">
        <v>7</v>
      </c>
      <c r="AK30">
        <v>75</v>
      </c>
    </row>
    <row r="31" spans="1:39" ht="16" x14ac:dyDescent="0.25">
      <c r="A31" t="s">
        <v>5</v>
      </c>
      <c r="B31" t="s">
        <v>1</v>
      </c>
      <c r="C31" t="s">
        <v>2</v>
      </c>
      <c r="D31" t="s">
        <v>4</v>
      </c>
      <c r="E31" t="s">
        <v>95</v>
      </c>
      <c r="J31">
        <v>407</v>
      </c>
      <c r="P31">
        <v>581.33333333333337</v>
      </c>
      <c r="T31" s="1"/>
      <c r="U31" t="s">
        <v>516</v>
      </c>
      <c r="V31">
        <v>1</v>
      </c>
      <c r="W31">
        <v>71.987179487179489</v>
      </c>
      <c r="X31">
        <f>AVERAGE(W31:W38)</f>
        <v>55.495743039561077</v>
      </c>
      <c r="Y31" s="4">
        <f>STDEV(W31:W38) /SQRT(COUNT(W31:W38))</f>
        <v>10.354999251851673</v>
      </c>
      <c r="AA31" s="1"/>
      <c r="AC31">
        <v>8</v>
      </c>
      <c r="AD31">
        <v>81.568627450980387</v>
      </c>
      <c r="AJ31">
        <v>8</v>
      </c>
      <c r="AK31">
        <v>63.333333333333336</v>
      </c>
    </row>
    <row r="32" spans="1:39" ht="16" x14ac:dyDescent="0.25">
      <c r="A32" t="s">
        <v>34</v>
      </c>
      <c r="B32">
        <v>1</v>
      </c>
      <c r="C32">
        <v>26.904761904761905</v>
      </c>
      <c r="D32">
        <v>5.9923067397404175</v>
      </c>
      <c r="E32" s="4">
        <f>STDEV(C32:C43) /SQRT(COUNT(C32:C43))</f>
        <v>2.9582390907780378</v>
      </c>
      <c r="J32">
        <v>266.33333333333331</v>
      </c>
      <c r="P32">
        <v>368</v>
      </c>
      <c r="T32" s="1"/>
      <c r="V32">
        <v>2</v>
      </c>
      <c r="W32">
        <v>80.645161290322577</v>
      </c>
      <c r="AA32" s="1"/>
    </row>
    <row r="33" spans="1:39" x14ac:dyDescent="0.2">
      <c r="A33" t="s">
        <v>233</v>
      </c>
      <c r="B33">
        <v>2</v>
      </c>
      <c r="C33">
        <v>-0.25062656641604031</v>
      </c>
      <c r="J33">
        <v>197.66666666666666</v>
      </c>
      <c r="P33">
        <v>448</v>
      </c>
      <c r="T33" s="1"/>
      <c r="V33">
        <v>3</v>
      </c>
      <c r="W33">
        <v>11.174242424242424</v>
      </c>
      <c r="AA33" s="1"/>
      <c r="AB33" t="s">
        <v>298</v>
      </c>
      <c r="AC33" t="s">
        <v>1</v>
      </c>
      <c r="AD33" t="s">
        <v>2</v>
      </c>
      <c r="AE33" t="s">
        <v>4</v>
      </c>
      <c r="AF33" t="s">
        <v>95</v>
      </c>
      <c r="AI33" t="s">
        <v>298</v>
      </c>
      <c r="AJ33" t="s">
        <v>1</v>
      </c>
      <c r="AK33" t="s">
        <v>2</v>
      </c>
      <c r="AL33" t="s">
        <v>4</v>
      </c>
      <c r="AM33" t="s">
        <v>95</v>
      </c>
    </row>
    <row r="34" spans="1:39" ht="16" x14ac:dyDescent="0.25">
      <c r="B34">
        <v>3</v>
      </c>
      <c r="C34">
        <v>14.729950900163665</v>
      </c>
      <c r="J34">
        <v>430</v>
      </c>
      <c r="P34">
        <v>639.66666666666663</v>
      </c>
      <c r="T34" s="1"/>
      <c r="V34">
        <v>4</v>
      </c>
      <c r="W34">
        <v>51.52571926765475</v>
      </c>
      <c r="AA34" s="1"/>
      <c r="AB34" t="s">
        <v>518</v>
      </c>
      <c r="AC34">
        <v>1</v>
      </c>
      <c r="AD34">
        <v>72.140762463343108</v>
      </c>
      <c r="AE34">
        <f>AVERAGE(AD34:AD41)</f>
        <v>75.72883497997725</v>
      </c>
      <c r="AF34" s="4">
        <f>STDEV(AD34:AD41) /SQRT(COUNT(AD34:AD41))</f>
        <v>1.719788923094723</v>
      </c>
      <c r="AI34" t="s">
        <v>518</v>
      </c>
      <c r="AJ34">
        <v>1</v>
      </c>
      <c r="AK34">
        <v>45</v>
      </c>
      <c r="AL34">
        <f>AVERAGE(AK34:AK41)</f>
        <v>54.01526657624219</v>
      </c>
      <c r="AM34" s="4">
        <f>STDEV(AK34:AK41) /SQRT(COUNT(AK34:AK41))</f>
        <v>1.4661907568641255</v>
      </c>
    </row>
    <row r="35" spans="1:39" x14ac:dyDescent="0.2">
      <c r="B35">
        <v>4</v>
      </c>
      <c r="C35">
        <v>-2.6737967914438503</v>
      </c>
      <c r="T35" s="1"/>
      <c r="V35">
        <v>5</v>
      </c>
      <c r="W35">
        <v>67.874692874692869</v>
      </c>
      <c r="AA35" s="1"/>
      <c r="AC35">
        <v>2</v>
      </c>
      <c r="AD35">
        <v>80.194805194805184</v>
      </c>
      <c r="AJ35">
        <v>2</v>
      </c>
      <c r="AK35">
        <v>59.027777777777779</v>
      </c>
    </row>
    <row r="36" spans="1:39" x14ac:dyDescent="0.2">
      <c r="B36">
        <v>5</v>
      </c>
      <c r="C36">
        <v>13.188405797101449</v>
      </c>
      <c r="H36" t="s">
        <v>309</v>
      </c>
      <c r="I36" t="s">
        <v>304</v>
      </c>
      <c r="J36">
        <v>204.66666666666666</v>
      </c>
      <c r="K36">
        <f>AVERAGE(J36:J60)</f>
        <v>273.85333333333335</v>
      </c>
      <c r="L36">
        <f>STDEV(J36:J60)/SQRT(COUNT(J36:J60))</f>
        <v>17.353151917777957</v>
      </c>
      <c r="N36" t="s">
        <v>309</v>
      </c>
      <c r="O36" t="s">
        <v>311</v>
      </c>
      <c r="P36">
        <v>319.66666666666669</v>
      </c>
      <c r="Q36">
        <f>AVERAGE(P36:P60)</f>
        <v>430.72000000000008</v>
      </c>
      <c r="R36">
        <f>STDEV(P36:P60)/SQRT(COUNT(P36:P60))</f>
        <v>21.426097620874767</v>
      </c>
      <c r="T36" s="1"/>
      <c r="V36">
        <v>6</v>
      </c>
      <c r="W36">
        <v>85.85526315789474</v>
      </c>
      <c r="AA36" s="1"/>
      <c r="AC36">
        <v>3</v>
      </c>
      <c r="AD36">
        <v>76.570458404074699</v>
      </c>
      <c r="AJ36">
        <v>3</v>
      </c>
      <c r="AK36">
        <v>54.166666666666671</v>
      </c>
    </row>
    <row r="37" spans="1:39" x14ac:dyDescent="0.2">
      <c r="B37">
        <v>6</v>
      </c>
      <c r="C37">
        <v>2.4425287356321843</v>
      </c>
      <c r="J37">
        <v>360</v>
      </c>
      <c r="P37">
        <v>437</v>
      </c>
      <c r="T37" s="1"/>
      <c r="V37">
        <v>7</v>
      </c>
      <c r="W37">
        <v>11.051693404634582</v>
      </c>
      <c r="AA37" s="1"/>
      <c r="AC37">
        <v>4</v>
      </c>
      <c r="AD37">
        <v>77.27272727272728</v>
      </c>
      <c r="AJ37">
        <v>4</v>
      </c>
      <c r="AK37">
        <v>52.38095238095238</v>
      </c>
    </row>
    <row r="38" spans="1:39" x14ac:dyDescent="0.2">
      <c r="B38">
        <v>7</v>
      </c>
      <c r="C38">
        <v>-1.1904761904761907</v>
      </c>
      <c r="J38">
        <v>310</v>
      </c>
      <c r="P38">
        <v>487.33333333333331</v>
      </c>
      <c r="T38" s="1"/>
      <c r="V38">
        <v>8</v>
      </c>
      <c r="W38">
        <v>63.851992409867172</v>
      </c>
      <c r="AA38" s="1"/>
      <c r="AC38">
        <v>5</v>
      </c>
      <c r="AD38">
        <v>67.5</v>
      </c>
      <c r="AJ38">
        <v>5</v>
      </c>
      <c r="AK38">
        <v>56.378986866791749</v>
      </c>
    </row>
    <row r="39" spans="1:39" x14ac:dyDescent="0.2">
      <c r="B39">
        <v>8</v>
      </c>
      <c r="C39">
        <v>15.238095238095239</v>
      </c>
      <c r="J39">
        <v>363.66666666666669</v>
      </c>
      <c r="P39">
        <v>557</v>
      </c>
      <c r="T39" s="1"/>
      <c r="AA39" s="1"/>
      <c r="AC39">
        <v>6</v>
      </c>
      <c r="AD39">
        <v>83.216783216783213</v>
      </c>
      <c r="AJ39">
        <v>6</v>
      </c>
      <c r="AK39">
        <v>55</v>
      </c>
    </row>
    <row r="40" spans="1:39" x14ac:dyDescent="0.2">
      <c r="B40">
        <v>9</v>
      </c>
      <c r="C40">
        <v>-3.565062388591798</v>
      </c>
      <c r="J40">
        <v>170.33333333333334</v>
      </c>
      <c r="P40">
        <v>327.33333333333331</v>
      </c>
      <c r="T40" s="1"/>
      <c r="U40" t="s">
        <v>298</v>
      </c>
      <c r="V40" t="s">
        <v>1</v>
      </c>
      <c r="W40" t="s">
        <v>2</v>
      </c>
      <c r="X40" t="s">
        <v>4</v>
      </c>
      <c r="Y40" t="s">
        <v>95</v>
      </c>
      <c r="AA40" s="1"/>
      <c r="AC40">
        <v>7</v>
      </c>
      <c r="AD40">
        <v>73.294117647058826</v>
      </c>
      <c r="AJ40">
        <v>7</v>
      </c>
      <c r="AK40">
        <v>53.977272727272727</v>
      </c>
    </row>
    <row r="41" spans="1:39" ht="16" x14ac:dyDescent="0.25">
      <c r="B41">
        <v>10</v>
      </c>
      <c r="C41">
        <v>-8.2013047530288912</v>
      </c>
      <c r="J41">
        <v>361.66666666666669</v>
      </c>
      <c r="P41">
        <v>561.66666666666663</v>
      </c>
      <c r="T41" s="1"/>
      <c r="U41" t="s">
        <v>517</v>
      </c>
      <c r="V41">
        <v>1</v>
      </c>
      <c r="W41">
        <v>56.19047619047619</v>
      </c>
      <c r="X41">
        <f>AVERAGE(W41:W48)</f>
        <v>53.709626224162207</v>
      </c>
      <c r="Y41" s="4">
        <f>STDEV(W41:W48) /SQRT(COUNT(W41:W48))</f>
        <v>6.1767897295370489</v>
      </c>
      <c r="AA41" s="1"/>
      <c r="AC41">
        <v>8</v>
      </c>
      <c r="AD41">
        <v>75.641025641025635</v>
      </c>
      <c r="AJ41">
        <v>8</v>
      </c>
      <c r="AK41">
        <v>56.19047619047619</v>
      </c>
    </row>
    <row r="42" spans="1:39" x14ac:dyDescent="0.2">
      <c r="B42">
        <v>11</v>
      </c>
      <c r="C42">
        <v>3.9215686274509807</v>
      </c>
      <c r="J42">
        <v>187.66666666666666</v>
      </c>
      <c r="P42">
        <v>476.66666666666669</v>
      </c>
      <c r="T42" s="1"/>
      <c r="V42">
        <v>2</v>
      </c>
      <c r="W42">
        <v>75.238095238095241</v>
      </c>
      <c r="AA42" s="1"/>
    </row>
    <row r="43" spans="1:39" x14ac:dyDescent="0.2">
      <c r="B43">
        <v>12</v>
      </c>
      <c r="C43">
        <v>11.363636363636363</v>
      </c>
      <c r="J43">
        <v>271</v>
      </c>
      <c r="P43">
        <v>512.33333333333337</v>
      </c>
      <c r="T43" s="1"/>
      <c r="V43">
        <v>3</v>
      </c>
      <c r="W43">
        <v>21.770334928229662</v>
      </c>
      <c r="AA43" s="1"/>
      <c r="AI43" s="2" t="s">
        <v>6</v>
      </c>
    </row>
    <row r="44" spans="1:39" x14ac:dyDescent="0.2">
      <c r="J44">
        <v>193</v>
      </c>
      <c r="P44">
        <v>417</v>
      </c>
      <c r="T44" s="1"/>
      <c r="V44">
        <v>4</v>
      </c>
      <c r="W44">
        <v>61.904761904761898</v>
      </c>
      <c r="AA44" s="1"/>
      <c r="AB44" s="2" t="s">
        <v>6</v>
      </c>
      <c r="AI44" s="2" t="s">
        <v>18</v>
      </c>
    </row>
    <row r="45" spans="1:39" x14ac:dyDescent="0.2">
      <c r="A45" t="s">
        <v>61</v>
      </c>
      <c r="B45" t="s">
        <v>1</v>
      </c>
      <c r="C45" t="s">
        <v>2</v>
      </c>
      <c r="D45" t="s">
        <v>4</v>
      </c>
      <c r="E45" t="s">
        <v>95</v>
      </c>
      <c r="J45">
        <v>362</v>
      </c>
      <c r="P45">
        <v>539.66666666666663</v>
      </c>
      <c r="T45" s="1"/>
      <c r="V45">
        <v>5</v>
      </c>
      <c r="W45">
        <v>61.324041811846691</v>
      </c>
      <c r="AA45" s="1"/>
      <c r="AB45" s="2" t="s">
        <v>7</v>
      </c>
      <c r="AI45" s="2" t="s">
        <v>525</v>
      </c>
    </row>
    <row r="46" spans="1:39" ht="16" x14ac:dyDescent="0.25">
      <c r="A46" t="s">
        <v>32</v>
      </c>
      <c r="B46">
        <v>1</v>
      </c>
      <c r="C46">
        <v>81.666666666666657</v>
      </c>
      <c r="D46">
        <v>71.433042680165741</v>
      </c>
      <c r="E46" s="4">
        <f>STDEV(C46:C57) /SQRT(COUNT(C46:C57))</f>
        <v>2.088453312985723</v>
      </c>
      <c r="J46">
        <v>117.66666666666667</v>
      </c>
      <c r="P46">
        <v>336</v>
      </c>
      <c r="T46" s="1"/>
      <c r="V46">
        <v>6</v>
      </c>
      <c r="W46">
        <v>56.19047619047619</v>
      </c>
      <c r="AA46" s="1"/>
      <c r="AB46" s="2" t="s">
        <v>519</v>
      </c>
      <c r="AI46" s="2" t="s">
        <v>526</v>
      </c>
    </row>
    <row r="47" spans="1:39" x14ac:dyDescent="0.2">
      <c r="A47" t="s">
        <v>234</v>
      </c>
      <c r="B47">
        <v>2</v>
      </c>
      <c r="C47">
        <v>81.168831168831161</v>
      </c>
      <c r="J47">
        <v>313.33333333333331</v>
      </c>
      <c r="P47">
        <v>505</v>
      </c>
      <c r="T47" s="1"/>
      <c r="V47">
        <v>7</v>
      </c>
      <c r="W47">
        <v>63.725490196078432</v>
      </c>
      <c r="AA47" s="1"/>
      <c r="AB47" s="2" t="s">
        <v>520</v>
      </c>
      <c r="AI47" s="2" t="s">
        <v>527</v>
      </c>
    </row>
    <row r="48" spans="1:39" x14ac:dyDescent="0.2">
      <c r="B48">
        <v>3</v>
      </c>
      <c r="C48">
        <v>80</v>
      </c>
      <c r="J48">
        <v>355</v>
      </c>
      <c r="P48">
        <v>511.33333333333331</v>
      </c>
      <c r="T48" s="1"/>
      <c r="V48">
        <v>8</v>
      </c>
      <c r="W48">
        <v>33.333333333333336</v>
      </c>
      <c r="AA48" s="1"/>
      <c r="AB48" s="2" t="s">
        <v>521</v>
      </c>
      <c r="AI48" s="2" t="s">
        <v>528</v>
      </c>
    </row>
    <row r="49" spans="1:35" x14ac:dyDescent="0.2">
      <c r="B49">
        <v>4</v>
      </c>
      <c r="C49">
        <v>74.901960784313729</v>
      </c>
      <c r="J49">
        <v>304.33333333333331</v>
      </c>
      <c r="P49">
        <v>549.66666666666663</v>
      </c>
      <c r="T49" s="1"/>
      <c r="AA49" s="1"/>
      <c r="AB49" s="2" t="s">
        <v>522</v>
      </c>
      <c r="AI49" s="2" t="s">
        <v>529</v>
      </c>
    </row>
    <row r="50" spans="1:35" x14ac:dyDescent="0.2">
      <c r="B50">
        <v>5</v>
      </c>
      <c r="C50">
        <v>63.089758342922899</v>
      </c>
      <c r="J50">
        <v>228.66666666666666</v>
      </c>
      <c r="P50">
        <v>366.33333333333331</v>
      </c>
      <c r="T50" s="1"/>
      <c r="U50" s="2"/>
      <c r="AA50" s="1"/>
      <c r="AB50" s="2" t="s">
        <v>523</v>
      </c>
      <c r="AI50" s="2" t="s">
        <v>530</v>
      </c>
    </row>
    <row r="51" spans="1:35" x14ac:dyDescent="0.2">
      <c r="B51">
        <v>6</v>
      </c>
      <c r="C51">
        <v>57.777777777777779</v>
      </c>
      <c r="J51">
        <v>390</v>
      </c>
      <c r="P51">
        <v>548.66666666666663</v>
      </c>
      <c r="T51" s="1"/>
      <c r="U51" t="s">
        <v>6</v>
      </c>
      <c r="AA51" s="1"/>
      <c r="AB51" s="2" t="s">
        <v>524</v>
      </c>
      <c r="AI51" s="2" t="s">
        <v>37</v>
      </c>
    </row>
    <row r="52" spans="1:35" x14ac:dyDescent="0.2">
      <c r="B52">
        <v>7</v>
      </c>
      <c r="C52">
        <v>69.975389663658746</v>
      </c>
      <c r="J52">
        <v>231.66666666666666</v>
      </c>
      <c r="P52">
        <v>301</v>
      </c>
      <c r="T52" s="1"/>
      <c r="U52" t="s">
        <v>7</v>
      </c>
      <c r="AA52" s="1"/>
      <c r="AB52" s="3" t="s">
        <v>13</v>
      </c>
      <c r="AI52" s="2" t="s">
        <v>38</v>
      </c>
    </row>
    <row r="53" spans="1:35" x14ac:dyDescent="0.2">
      <c r="B53">
        <v>8</v>
      </c>
      <c r="C53">
        <v>70.833333333333343</v>
      </c>
      <c r="J53">
        <v>477.66666666666669</v>
      </c>
      <c r="P53">
        <v>629</v>
      </c>
      <c r="T53" s="1"/>
      <c r="U53" t="s">
        <v>445</v>
      </c>
      <c r="AA53" s="1"/>
      <c r="AI53" s="3" t="s">
        <v>13</v>
      </c>
    </row>
    <row r="54" spans="1:35" x14ac:dyDescent="0.2">
      <c r="B54">
        <v>9</v>
      </c>
      <c r="C54">
        <v>69.714285714285722</v>
      </c>
      <c r="J54">
        <v>300.66666666666669</v>
      </c>
      <c r="P54">
        <v>462</v>
      </c>
      <c r="T54" s="1"/>
      <c r="U54" t="s">
        <v>446</v>
      </c>
      <c r="AA54" s="1"/>
    </row>
    <row r="55" spans="1:35" x14ac:dyDescent="0.2">
      <c r="B55">
        <v>10</v>
      </c>
      <c r="C55">
        <v>68.156228008444771</v>
      </c>
      <c r="J55">
        <v>200.33333333333334</v>
      </c>
      <c r="P55">
        <v>315.66666666666669</v>
      </c>
      <c r="T55" s="1"/>
      <c r="U55" t="s">
        <v>447</v>
      </c>
      <c r="AA55" s="1"/>
    </row>
    <row r="56" spans="1:35" x14ac:dyDescent="0.2">
      <c r="B56">
        <v>11</v>
      </c>
      <c r="C56">
        <v>72.61904761904762</v>
      </c>
      <c r="J56">
        <v>210</v>
      </c>
      <c r="P56">
        <v>244</v>
      </c>
      <c r="T56" s="1"/>
      <c r="U56" t="s">
        <v>448</v>
      </c>
      <c r="AA56" s="1"/>
    </row>
    <row r="57" spans="1:35" x14ac:dyDescent="0.2">
      <c r="B57">
        <v>12</v>
      </c>
      <c r="C57">
        <v>67.293233082706763</v>
      </c>
      <c r="J57">
        <v>302</v>
      </c>
      <c r="P57">
        <v>304.33333333333331</v>
      </c>
      <c r="T57" s="1"/>
      <c r="U57" t="s">
        <v>449</v>
      </c>
      <c r="AA57" s="1"/>
    </row>
    <row r="58" spans="1:35" x14ac:dyDescent="0.2">
      <c r="J58">
        <v>163</v>
      </c>
      <c r="P58">
        <v>377</v>
      </c>
      <c r="T58" s="1"/>
      <c r="U58" t="s">
        <v>450</v>
      </c>
      <c r="AA58" s="1"/>
    </row>
    <row r="59" spans="1:35" x14ac:dyDescent="0.2">
      <c r="A59" t="s">
        <v>3</v>
      </c>
      <c r="B59" t="s">
        <v>1</v>
      </c>
      <c r="C59" t="s">
        <v>2</v>
      </c>
      <c r="D59" t="s">
        <v>4</v>
      </c>
      <c r="E59" t="s">
        <v>95</v>
      </c>
      <c r="J59">
        <v>225.33333333333334</v>
      </c>
      <c r="P59">
        <v>310</v>
      </c>
      <c r="T59" s="1"/>
      <c r="U59" t="s">
        <v>13</v>
      </c>
      <c r="AA59" s="1"/>
    </row>
    <row r="60" spans="1:35" ht="16" x14ac:dyDescent="0.25">
      <c r="A60" t="s">
        <v>33</v>
      </c>
      <c r="B60">
        <v>1</v>
      </c>
      <c r="C60">
        <v>76.094276094276097</v>
      </c>
      <c r="D60">
        <v>68.318223378459166</v>
      </c>
      <c r="E60" s="4">
        <f>STDEV(C60:C71) /SQRT(COUNT(C60:C71))</f>
        <v>3.0074611197734167</v>
      </c>
      <c r="J60">
        <v>242.66666666666666</v>
      </c>
      <c r="P60">
        <v>372.33333333333331</v>
      </c>
      <c r="T60" s="1"/>
      <c r="AA60" s="1"/>
    </row>
    <row r="61" spans="1:35" x14ac:dyDescent="0.2">
      <c r="A61" t="s">
        <v>234</v>
      </c>
      <c r="B61">
        <v>2</v>
      </c>
      <c r="C61">
        <v>79.365079365079367</v>
      </c>
      <c r="T61" s="1"/>
      <c r="AA61" s="1"/>
    </row>
    <row r="62" spans="1:35" x14ac:dyDescent="0.2">
      <c r="B62">
        <v>3</v>
      </c>
      <c r="C62">
        <v>70.982142857142861</v>
      </c>
      <c r="H62" t="s">
        <v>309</v>
      </c>
      <c r="I62" t="s">
        <v>305</v>
      </c>
      <c r="J62">
        <v>204</v>
      </c>
      <c r="K62">
        <f>AVERAGE(J62:J86)</f>
        <v>271.42666666666668</v>
      </c>
      <c r="L62">
        <f>STDEV(J62:J86)/SQRT(COUNT(J62:J86))</f>
        <v>19.902796378994179</v>
      </c>
      <c r="N62" t="s">
        <v>309</v>
      </c>
      <c r="O62" t="s">
        <v>312</v>
      </c>
      <c r="P62">
        <v>402.66666666666669</v>
      </c>
      <c r="Q62">
        <f>AVERAGE(P62:P86)</f>
        <v>411.10666666666674</v>
      </c>
      <c r="R62">
        <f>STDEV(P62:P86)/SQRT(COUNT(P62:P86))</f>
        <v>22.084213567362706</v>
      </c>
      <c r="T62" s="1"/>
      <c r="AA62" s="1"/>
    </row>
    <row r="63" spans="1:35" x14ac:dyDescent="0.2">
      <c r="B63">
        <v>4</v>
      </c>
      <c r="C63">
        <v>56.349206349206355</v>
      </c>
      <c r="J63">
        <v>319.66666666666669</v>
      </c>
      <c r="P63">
        <v>400.66666666666669</v>
      </c>
      <c r="T63" s="1"/>
      <c r="AA63" s="1"/>
    </row>
    <row r="64" spans="1:35" x14ac:dyDescent="0.2">
      <c r="B64">
        <v>5</v>
      </c>
      <c r="C64">
        <v>48.47198641765705</v>
      </c>
      <c r="J64">
        <v>252</v>
      </c>
      <c r="P64">
        <v>327.33333333333331</v>
      </c>
      <c r="T64" s="1"/>
      <c r="AA64" s="1"/>
    </row>
    <row r="65" spans="1:27" x14ac:dyDescent="0.2">
      <c r="B65">
        <v>6</v>
      </c>
      <c r="C65">
        <v>57.151029748283747</v>
      </c>
      <c r="J65">
        <v>203.66666666666666</v>
      </c>
      <c r="P65">
        <v>438</v>
      </c>
      <c r="T65" s="1"/>
      <c r="AA65" s="1"/>
    </row>
    <row r="66" spans="1:27" x14ac:dyDescent="0.2">
      <c r="B66">
        <v>7</v>
      </c>
      <c r="C66">
        <v>68.627450980392155</v>
      </c>
      <c r="J66">
        <v>228.33333333333334</v>
      </c>
      <c r="P66">
        <v>469.33333333333331</v>
      </c>
      <c r="T66" s="1"/>
      <c r="AA66" s="1"/>
    </row>
    <row r="67" spans="1:27" x14ac:dyDescent="0.2">
      <c r="B67">
        <v>8</v>
      </c>
      <c r="C67">
        <v>63.782991202346039</v>
      </c>
      <c r="J67">
        <v>333.66666666666669</v>
      </c>
      <c r="P67">
        <v>439.33333333333331</v>
      </c>
      <c r="T67" s="1"/>
      <c r="AA67" s="1"/>
    </row>
    <row r="68" spans="1:27" x14ac:dyDescent="0.2">
      <c r="B68">
        <v>9</v>
      </c>
      <c r="C68">
        <v>65.952380952380949</v>
      </c>
      <c r="J68">
        <v>260.33333333333331</v>
      </c>
      <c r="P68">
        <v>506.33333333333331</v>
      </c>
      <c r="T68" s="1"/>
      <c r="AA68" s="1"/>
    </row>
    <row r="69" spans="1:27" x14ac:dyDescent="0.2">
      <c r="B69">
        <v>10</v>
      </c>
      <c r="C69">
        <v>79.761904761904759</v>
      </c>
      <c r="J69">
        <v>351</v>
      </c>
      <c r="P69">
        <v>446</v>
      </c>
      <c r="T69" s="1"/>
      <c r="AA69" s="1"/>
    </row>
    <row r="70" spans="1:27" x14ac:dyDescent="0.2">
      <c r="B70">
        <v>11</v>
      </c>
      <c r="C70">
        <v>71.805006587615281</v>
      </c>
      <c r="J70">
        <v>175.33333333333334</v>
      </c>
      <c r="P70">
        <v>403.66666666666669</v>
      </c>
      <c r="T70" s="1"/>
      <c r="AA70" s="1"/>
    </row>
    <row r="71" spans="1:27" x14ac:dyDescent="0.2">
      <c r="B71">
        <v>12</v>
      </c>
      <c r="C71">
        <v>81.47522522522523</v>
      </c>
      <c r="J71">
        <v>389.66666666666669</v>
      </c>
      <c r="P71">
        <v>578.66666666666663</v>
      </c>
      <c r="T71" s="1"/>
      <c r="AA71" s="1"/>
    </row>
    <row r="72" spans="1:27" x14ac:dyDescent="0.2">
      <c r="J72">
        <v>262.66666666666669</v>
      </c>
      <c r="P72">
        <v>396.66666666666669</v>
      </c>
      <c r="T72" s="1"/>
      <c r="AA72" s="1"/>
    </row>
    <row r="73" spans="1:27" x14ac:dyDescent="0.2">
      <c r="A73" t="s">
        <v>5</v>
      </c>
      <c r="B73" t="s">
        <v>1</v>
      </c>
      <c r="C73" t="s">
        <v>2</v>
      </c>
      <c r="D73" t="s">
        <v>4</v>
      </c>
      <c r="E73" t="s">
        <v>95</v>
      </c>
      <c r="J73">
        <v>168.33333333333334</v>
      </c>
      <c r="P73">
        <v>278.33333333333331</v>
      </c>
      <c r="T73" s="1"/>
      <c r="AA73" s="1"/>
    </row>
    <row r="74" spans="1:27" ht="16" x14ac:dyDescent="0.25">
      <c r="A74" t="s">
        <v>34</v>
      </c>
      <c r="B74">
        <v>1</v>
      </c>
      <c r="C74">
        <v>37.5</v>
      </c>
      <c r="D74">
        <v>10.199075662879183</v>
      </c>
      <c r="E74" s="4">
        <f>STDEV(C74:C85) /SQRT(COUNT(C74:C85))</f>
        <v>5.4441514064551138</v>
      </c>
      <c r="J74">
        <v>185.66666666666666</v>
      </c>
      <c r="P74">
        <v>284.66666666666669</v>
      </c>
      <c r="T74" s="1"/>
      <c r="AA74" s="1"/>
    </row>
    <row r="75" spans="1:27" x14ac:dyDescent="0.2">
      <c r="A75" t="s">
        <v>234</v>
      </c>
      <c r="B75">
        <v>2</v>
      </c>
      <c r="C75">
        <v>32.142857142857146</v>
      </c>
      <c r="J75">
        <v>136.66666666666666</v>
      </c>
      <c r="P75">
        <v>248</v>
      </c>
      <c r="T75" s="1"/>
      <c r="AA75" s="1"/>
    </row>
    <row r="76" spans="1:27" x14ac:dyDescent="0.2">
      <c r="B76">
        <v>3</v>
      </c>
      <c r="C76">
        <v>35.416666666666671</v>
      </c>
      <c r="J76">
        <v>269.33333333333331</v>
      </c>
      <c r="P76">
        <v>441</v>
      </c>
      <c r="T76" s="1"/>
      <c r="AA76" s="1"/>
    </row>
    <row r="77" spans="1:27" x14ac:dyDescent="0.2">
      <c r="B77">
        <v>4</v>
      </c>
      <c r="C77">
        <v>-16.666666666666668</v>
      </c>
      <c r="J77">
        <v>471.66666666666669</v>
      </c>
      <c r="P77">
        <v>630</v>
      </c>
      <c r="T77" s="1"/>
      <c r="AA77" s="1"/>
    </row>
    <row r="78" spans="1:27" x14ac:dyDescent="0.2">
      <c r="B78">
        <v>5</v>
      </c>
      <c r="C78">
        <v>5.5555555555555554</v>
      </c>
      <c r="J78">
        <v>172</v>
      </c>
      <c r="P78">
        <v>332.66666666666669</v>
      </c>
      <c r="T78" s="1"/>
      <c r="AA78" s="1"/>
    </row>
    <row r="79" spans="1:27" x14ac:dyDescent="0.2">
      <c r="B79">
        <v>6</v>
      </c>
      <c r="C79">
        <v>16.666666666666668</v>
      </c>
      <c r="J79">
        <v>312</v>
      </c>
      <c r="P79">
        <v>484.33333333333331</v>
      </c>
      <c r="T79" s="1"/>
      <c r="AA79" s="1"/>
    </row>
    <row r="80" spans="1:27" x14ac:dyDescent="0.2">
      <c r="B80">
        <v>7</v>
      </c>
      <c r="C80">
        <v>17.460317460317462</v>
      </c>
      <c r="J80">
        <v>424</v>
      </c>
      <c r="P80">
        <v>575.66666666666663</v>
      </c>
      <c r="T80" s="1"/>
      <c r="AA80" s="1"/>
    </row>
    <row r="81" spans="1:27" x14ac:dyDescent="0.2">
      <c r="B81">
        <v>8</v>
      </c>
      <c r="C81">
        <v>-0.7590132827324485</v>
      </c>
      <c r="J81">
        <v>429.66666666666669</v>
      </c>
      <c r="P81">
        <v>514.66666666666663</v>
      </c>
      <c r="T81" s="1"/>
      <c r="AA81" s="1"/>
    </row>
    <row r="82" spans="1:27" x14ac:dyDescent="0.2">
      <c r="B82">
        <v>9</v>
      </c>
      <c r="C82">
        <v>-15.191637630662019</v>
      </c>
      <c r="J82">
        <v>306.66666666666669</v>
      </c>
      <c r="P82">
        <v>379.33333333333331</v>
      </c>
      <c r="T82" s="1"/>
      <c r="AA82" s="1"/>
    </row>
    <row r="83" spans="1:27" x14ac:dyDescent="0.2">
      <c r="B83">
        <v>10</v>
      </c>
      <c r="C83">
        <v>16.33986928104575</v>
      </c>
      <c r="J83">
        <v>157.33333333333334</v>
      </c>
      <c r="P83">
        <v>268</v>
      </c>
      <c r="T83" s="1"/>
      <c r="AA83" s="1"/>
    </row>
    <row r="84" spans="1:27" x14ac:dyDescent="0.2">
      <c r="B84">
        <v>11</v>
      </c>
      <c r="C84">
        <v>2.3809523809523809</v>
      </c>
      <c r="J84">
        <v>321.66666666666669</v>
      </c>
      <c r="P84">
        <v>408.66666666666669</v>
      </c>
      <c r="T84" s="1"/>
      <c r="AA84" s="1"/>
    </row>
    <row r="85" spans="1:27" x14ac:dyDescent="0.2">
      <c r="B85">
        <v>12</v>
      </c>
      <c r="C85">
        <v>-8.456659619450317</v>
      </c>
      <c r="J85">
        <v>96.333333333333329</v>
      </c>
      <c r="P85">
        <v>166.33333333333334</v>
      </c>
      <c r="T85" s="1"/>
      <c r="AA85" s="1"/>
    </row>
    <row r="86" spans="1:27" x14ac:dyDescent="0.2">
      <c r="J86">
        <v>354</v>
      </c>
      <c r="P86">
        <v>457.33333333333331</v>
      </c>
      <c r="T86" s="1"/>
      <c r="AA86" s="1"/>
    </row>
    <row r="87" spans="1:27" x14ac:dyDescent="0.2">
      <c r="A87" s="2" t="s">
        <v>6</v>
      </c>
      <c r="T87" s="1"/>
      <c r="AA87" s="1"/>
    </row>
    <row r="88" spans="1:27" x14ac:dyDescent="0.2">
      <c r="A88" s="2" t="s">
        <v>18</v>
      </c>
      <c r="H88" t="s">
        <v>309</v>
      </c>
      <c r="I88" t="s">
        <v>306</v>
      </c>
      <c r="J88">
        <v>468.66666666666669</v>
      </c>
      <c r="K88">
        <f>AVERAGE(J88:J110)</f>
        <v>275.94202898550725</v>
      </c>
      <c r="L88">
        <f>STDEV(J88:J110)/SQRT(COUNT(J88:J110))</f>
        <v>19.19929515996353</v>
      </c>
      <c r="N88" t="s">
        <v>309</v>
      </c>
      <c r="O88" t="s">
        <v>313</v>
      </c>
      <c r="P88">
        <v>597.66666666666663</v>
      </c>
      <c r="Q88">
        <f>AVERAGE(P88:P110)</f>
        <v>415.94202898550719</v>
      </c>
      <c r="R88">
        <f>STDEV(P88:P110)/SQRT(COUNT(P88:P110))</f>
        <v>27.229248884357535</v>
      </c>
      <c r="T88" s="1"/>
      <c r="AA88" s="1"/>
    </row>
    <row r="89" spans="1:27" x14ac:dyDescent="0.2">
      <c r="A89" s="2" t="s">
        <v>250</v>
      </c>
      <c r="J89">
        <v>401.66666666666669</v>
      </c>
      <c r="P89">
        <v>412.33333333333331</v>
      </c>
      <c r="T89" s="1"/>
      <c r="AA89" s="1"/>
    </row>
    <row r="90" spans="1:27" x14ac:dyDescent="0.2">
      <c r="A90" s="2" t="s">
        <v>251</v>
      </c>
      <c r="J90">
        <v>102.66666666666667</v>
      </c>
      <c r="P90">
        <v>223.33333333333334</v>
      </c>
      <c r="T90" s="1"/>
      <c r="AA90" s="1"/>
    </row>
    <row r="91" spans="1:27" x14ac:dyDescent="0.2">
      <c r="A91" s="2" t="s">
        <v>252</v>
      </c>
      <c r="J91">
        <v>146.33333333333334</v>
      </c>
      <c r="P91">
        <v>209.33333333333334</v>
      </c>
      <c r="T91" s="1"/>
      <c r="AA91" s="1"/>
    </row>
    <row r="92" spans="1:27" x14ac:dyDescent="0.2">
      <c r="A92" s="2" t="s">
        <v>253</v>
      </c>
      <c r="J92">
        <v>338</v>
      </c>
      <c r="P92">
        <v>445</v>
      </c>
      <c r="T92" s="1"/>
      <c r="AA92" s="1"/>
    </row>
    <row r="93" spans="1:27" x14ac:dyDescent="0.2">
      <c r="A93" s="2" t="s">
        <v>254</v>
      </c>
      <c r="J93">
        <v>295.33333333333331</v>
      </c>
      <c r="P93">
        <v>369.33333333333331</v>
      </c>
      <c r="T93" s="1"/>
      <c r="AA93" s="1"/>
    </row>
    <row r="94" spans="1:27" x14ac:dyDescent="0.2">
      <c r="A94" s="2" t="s">
        <v>255</v>
      </c>
      <c r="J94">
        <v>298.66666666666669</v>
      </c>
      <c r="P94">
        <v>589</v>
      </c>
      <c r="T94" s="1"/>
      <c r="AA94" s="1"/>
    </row>
    <row r="95" spans="1:27" x14ac:dyDescent="0.2">
      <c r="A95" s="2" t="s">
        <v>256</v>
      </c>
      <c r="J95">
        <v>256.66666666666669</v>
      </c>
      <c r="P95">
        <v>538.33333333333337</v>
      </c>
      <c r="T95" s="1"/>
      <c r="AA95" s="1"/>
    </row>
    <row r="96" spans="1:27" x14ac:dyDescent="0.2">
      <c r="A96" s="2" t="s">
        <v>257</v>
      </c>
      <c r="J96">
        <v>287.33333333333331</v>
      </c>
      <c r="P96">
        <v>509.33333333333331</v>
      </c>
      <c r="T96" s="1"/>
      <c r="AA96" s="1"/>
    </row>
    <row r="97" spans="1:27" x14ac:dyDescent="0.2">
      <c r="A97" s="2" t="s">
        <v>258</v>
      </c>
      <c r="J97">
        <v>266.33333333333331</v>
      </c>
      <c r="P97">
        <v>291.66666666666669</v>
      </c>
      <c r="T97" s="1"/>
      <c r="AA97" s="1"/>
    </row>
    <row r="98" spans="1:27" x14ac:dyDescent="0.2">
      <c r="A98" s="2" t="s">
        <v>259</v>
      </c>
      <c r="J98">
        <v>287.33333333333331</v>
      </c>
      <c r="P98">
        <v>408</v>
      </c>
      <c r="T98" s="1"/>
      <c r="AA98" s="1"/>
    </row>
    <row r="99" spans="1:27" x14ac:dyDescent="0.2">
      <c r="A99" s="2" t="s">
        <v>260</v>
      </c>
      <c r="J99">
        <v>287</v>
      </c>
      <c r="P99">
        <v>460.33333333333331</v>
      </c>
      <c r="T99" s="1"/>
      <c r="AA99" s="1"/>
    </row>
    <row r="100" spans="1:27" x14ac:dyDescent="0.2">
      <c r="A100" s="2" t="s">
        <v>261</v>
      </c>
      <c r="J100">
        <v>448.66666666666669</v>
      </c>
      <c r="P100">
        <v>519.33333333333337</v>
      </c>
      <c r="T100" s="1"/>
      <c r="AA100" s="1"/>
    </row>
    <row r="101" spans="1:27" x14ac:dyDescent="0.2">
      <c r="A101" s="2" t="s">
        <v>262</v>
      </c>
      <c r="J101">
        <v>254.33333333333334</v>
      </c>
      <c r="P101">
        <v>388.33333333333331</v>
      </c>
      <c r="T101" s="1"/>
      <c r="AA101" s="1"/>
    </row>
    <row r="102" spans="1:27" x14ac:dyDescent="0.2">
      <c r="A102" s="2" t="s">
        <v>263</v>
      </c>
      <c r="J102">
        <v>356.66666666666669</v>
      </c>
      <c r="P102">
        <v>495</v>
      </c>
      <c r="T102" s="1"/>
      <c r="AA102" s="1"/>
    </row>
    <row r="103" spans="1:27" x14ac:dyDescent="0.2">
      <c r="A103" s="2" t="s">
        <v>264</v>
      </c>
      <c r="J103">
        <v>196.66666666666666</v>
      </c>
      <c r="P103">
        <v>212.33333333333334</v>
      </c>
      <c r="T103" s="1"/>
      <c r="AA103" s="1"/>
    </row>
    <row r="104" spans="1:27" x14ac:dyDescent="0.2">
      <c r="A104" s="2" t="s">
        <v>37</v>
      </c>
      <c r="J104">
        <v>229</v>
      </c>
      <c r="P104">
        <v>246.66666666666666</v>
      </c>
      <c r="T104" s="1"/>
      <c r="AA104" s="1"/>
    </row>
    <row r="105" spans="1:27" x14ac:dyDescent="0.2">
      <c r="A105" s="2" t="s">
        <v>38</v>
      </c>
      <c r="J105">
        <v>246</v>
      </c>
      <c r="P105">
        <v>344.33333333333331</v>
      </c>
      <c r="T105" s="1"/>
      <c r="AA105" s="1"/>
    </row>
    <row r="106" spans="1:27" x14ac:dyDescent="0.2">
      <c r="A106" s="3" t="s">
        <v>13</v>
      </c>
      <c r="J106">
        <v>282</v>
      </c>
      <c r="P106">
        <v>539.33333333333337</v>
      </c>
      <c r="T106" s="1"/>
      <c r="AA106" s="1"/>
    </row>
    <row r="107" spans="1:27" x14ac:dyDescent="0.2">
      <c r="J107">
        <v>294.33333333333331</v>
      </c>
      <c r="P107">
        <v>535</v>
      </c>
      <c r="T107" s="1"/>
      <c r="AA107" s="1"/>
    </row>
    <row r="108" spans="1:27" x14ac:dyDescent="0.2">
      <c r="J108">
        <v>231.66666666666666</v>
      </c>
      <c r="P108">
        <v>603.66666666666663</v>
      </c>
      <c r="T108" s="1"/>
      <c r="AA108" s="1"/>
    </row>
    <row r="109" spans="1:27" x14ac:dyDescent="0.2">
      <c r="J109">
        <v>276</v>
      </c>
      <c r="P109">
        <v>385.33333333333331</v>
      </c>
      <c r="T109" s="1"/>
      <c r="AA109" s="1"/>
    </row>
    <row r="110" spans="1:27" x14ac:dyDescent="0.2">
      <c r="J110">
        <v>95.333333333333329</v>
      </c>
      <c r="P110">
        <v>243.66666666666666</v>
      </c>
      <c r="T110" s="1"/>
      <c r="AA110" s="1"/>
    </row>
    <row r="111" spans="1:27" x14ac:dyDescent="0.2">
      <c r="T111" s="1"/>
      <c r="AA111" s="1"/>
    </row>
    <row r="112" spans="1:27" x14ac:dyDescent="0.2">
      <c r="H112" t="s">
        <v>309</v>
      </c>
      <c r="I112" t="s">
        <v>307</v>
      </c>
      <c r="J112">
        <v>342.66666666666669</v>
      </c>
      <c r="K112">
        <f>AVERAGE(J112:J135)</f>
        <v>255.0277777777778</v>
      </c>
      <c r="L112">
        <f>STDEV(J112:J135)/SQRT(COUNT(J112:J135))</f>
        <v>16.861158863114699</v>
      </c>
      <c r="N112" t="s">
        <v>309</v>
      </c>
      <c r="O112" t="s">
        <v>314</v>
      </c>
      <c r="P112">
        <v>457</v>
      </c>
      <c r="Q112">
        <f>AVERAGE(P112:P134)</f>
        <v>413.49275362318843</v>
      </c>
      <c r="R112">
        <f>STDEV(P112:P134)/SQRT(COUNT(P112:P134))</f>
        <v>18.488217111593009</v>
      </c>
      <c r="T112" s="1"/>
      <c r="AA112" s="1"/>
    </row>
    <row r="113" spans="10:27" x14ac:dyDescent="0.2">
      <c r="J113">
        <v>311</v>
      </c>
      <c r="P113">
        <v>486.33333333333331</v>
      </c>
      <c r="T113" s="1"/>
      <c r="AA113" s="1"/>
    </row>
    <row r="114" spans="10:27" x14ac:dyDescent="0.2">
      <c r="J114">
        <v>191.66666666666666</v>
      </c>
      <c r="P114">
        <v>341.66666666666669</v>
      </c>
      <c r="T114" s="1"/>
      <c r="AA114" s="1"/>
    </row>
    <row r="115" spans="10:27" x14ac:dyDescent="0.2">
      <c r="J115">
        <v>194</v>
      </c>
      <c r="P115">
        <v>269.66666666666669</v>
      </c>
      <c r="T115" s="1"/>
      <c r="AA115" s="1"/>
    </row>
    <row r="116" spans="10:27" x14ac:dyDescent="0.2">
      <c r="J116">
        <v>254</v>
      </c>
      <c r="P116">
        <v>396.33333333333331</v>
      </c>
      <c r="T116" s="1"/>
      <c r="AA116" s="1"/>
    </row>
    <row r="117" spans="10:27" x14ac:dyDescent="0.2">
      <c r="J117">
        <v>241.66666666666666</v>
      </c>
      <c r="P117">
        <v>379.33333333333331</v>
      </c>
      <c r="T117" s="1"/>
      <c r="AA117" s="1"/>
    </row>
    <row r="118" spans="10:27" x14ac:dyDescent="0.2">
      <c r="J118">
        <v>156.33333333333334</v>
      </c>
      <c r="P118">
        <v>278.33333333333331</v>
      </c>
      <c r="T118" s="1"/>
      <c r="AA118" s="1"/>
    </row>
    <row r="119" spans="10:27" x14ac:dyDescent="0.2">
      <c r="J119">
        <v>133</v>
      </c>
      <c r="P119">
        <v>377</v>
      </c>
      <c r="T119" s="1"/>
      <c r="AA119" s="1"/>
    </row>
    <row r="120" spans="10:27" x14ac:dyDescent="0.2">
      <c r="J120">
        <v>252</v>
      </c>
      <c r="P120">
        <v>406.33333333333331</v>
      </c>
      <c r="T120" s="1"/>
      <c r="AA120" s="1"/>
    </row>
    <row r="121" spans="10:27" x14ac:dyDescent="0.2">
      <c r="J121">
        <v>231.33333333333334</v>
      </c>
      <c r="P121">
        <v>350</v>
      </c>
      <c r="T121" s="1"/>
      <c r="AA121" s="1"/>
    </row>
    <row r="122" spans="10:27" x14ac:dyDescent="0.2">
      <c r="J122">
        <v>238.33333333333334</v>
      </c>
      <c r="P122">
        <v>478.66666666666669</v>
      </c>
      <c r="T122" s="1"/>
      <c r="AA122" s="1"/>
    </row>
    <row r="123" spans="10:27" x14ac:dyDescent="0.2">
      <c r="J123">
        <v>376</v>
      </c>
      <c r="P123">
        <v>387.66666666666669</v>
      </c>
      <c r="T123" s="1"/>
      <c r="AA123" s="1"/>
    </row>
    <row r="124" spans="10:27" x14ac:dyDescent="0.2">
      <c r="J124">
        <v>169.66666666666666</v>
      </c>
      <c r="P124">
        <v>267.33333333333331</v>
      </c>
      <c r="T124" s="1"/>
      <c r="AA124" s="1"/>
    </row>
    <row r="125" spans="10:27" x14ac:dyDescent="0.2">
      <c r="J125">
        <v>148</v>
      </c>
      <c r="P125">
        <v>266.66666666666669</v>
      </c>
      <c r="T125" s="1"/>
      <c r="AA125" s="1"/>
    </row>
    <row r="126" spans="10:27" x14ac:dyDescent="0.2">
      <c r="J126">
        <v>402.33333333333331</v>
      </c>
      <c r="P126">
        <v>469.66666666666669</v>
      </c>
      <c r="T126" s="1"/>
      <c r="AA126" s="1"/>
    </row>
    <row r="127" spans="10:27" x14ac:dyDescent="0.2">
      <c r="J127">
        <v>296.33333333333331</v>
      </c>
      <c r="P127">
        <v>422</v>
      </c>
      <c r="T127" s="1"/>
      <c r="AA127" s="1"/>
    </row>
    <row r="128" spans="10:27" x14ac:dyDescent="0.2">
      <c r="J128">
        <v>403</v>
      </c>
      <c r="P128">
        <v>567.33333333333337</v>
      </c>
      <c r="T128" s="1"/>
      <c r="AA128" s="1"/>
    </row>
    <row r="129" spans="8:27" x14ac:dyDescent="0.2">
      <c r="J129">
        <v>260.66666666666669</v>
      </c>
      <c r="P129">
        <v>488.33333333333331</v>
      </c>
      <c r="T129" s="1"/>
      <c r="AA129" s="1"/>
    </row>
    <row r="130" spans="8:27" x14ac:dyDescent="0.2">
      <c r="J130">
        <v>393.33333333333331</v>
      </c>
      <c r="P130">
        <v>566.66666666666663</v>
      </c>
      <c r="T130" s="1"/>
      <c r="AA130" s="1"/>
    </row>
    <row r="131" spans="8:27" x14ac:dyDescent="0.2">
      <c r="J131">
        <v>227.66666666666666</v>
      </c>
      <c r="P131">
        <v>453</v>
      </c>
      <c r="T131" s="1"/>
      <c r="AA131" s="1"/>
    </row>
    <row r="132" spans="8:27" x14ac:dyDescent="0.2">
      <c r="J132">
        <v>259.33333333333331</v>
      </c>
      <c r="P132">
        <v>476.33333333333331</v>
      </c>
      <c r="T132" s="1"/>
      <c r="AA132" s="1"/>
    </row>
    <row r="133" spans="8:27" x14ac:dyDescent="0.2">
      <c r="J133">
        <v>225</v>
      </c>
      <c r="P133">
        <v>481</v>
      </c>
      <c r="T133" s="1"/>
      <c r="AA133" s="1"/>
    </row>
    <row r="134" spans="8:27" x14ac:dyDescent="0.2">
      <c r="J134">
        <v>272</v>
      </c>
      <c r="P134">
        <v>443.66666666666669</v>
      </c>
      <c r="T134" s="1"/>
      <c r="AA134" s="1"/>
    </row>
    <row r="135" spans="8:27" x14ac:dyDescent="0.2">
      <c r="J135">
        <v>141.33333333333334</v>
      </c>
      <c r="T135" s="1"/>
      <c r="AA135" s="1"/>
    </row>
    <row r="136" spans="8:27" x14ac:dyDescent="0.2">
      <c r="O136" t="s">
        <v>315</v>
      </c>
      <c r="P136">
        <v>457.66666666666669</v>
      </c>
      <c r="Q136">
        <f>AVERAGE(P136:P160)</f>
        <v>424.3055555555556</v>
      </c>
      <c r="R136">
        <f>STDEV(P136:P160)/SQRT(COUNT(P136:P160))</f>
        <v>26.06541316675046</v>
      </c>
      <c r="T136" s="1"/>
      <c r="AA136" s="1"/>
    </row>
    <row r="137" spans="8:27" x14ac:dyDescent="0.2">
      <c r="H137" t="s">
        <v>309</v>
      </c>
      <c r="I137" t="s">
        <v>308</v>
      </c>
      <c r="J137">
        <v>298.66666666666669</v>
      </c>
      <c r="K137">
        <f>AVERAGE(J137:J160)</f>
        <v>259.90277777777777</v>
      </c>
      <c r="L137">
        <f>STDEV(J137:J160)/SQRT(COUNT(J137:J160))</f>
        <v>15.59566704512488</v>
      </c>
      <c r="N137" t="s">
        <v>309</v>
      </c>
      <c r="P137">
        <v>397.33333333333331</v>
      </c>
      <c r="T137" s="1"/>
      <c r="AA137" s="1"/>
    </row>
    <row r="138" spans="8:27" x14ac:dyDescent="0.2">
      <c r="J138">
        <v>263.66666666666669</v>
      </c>
      <c r="P138">
        <v>586.66666666666663</v>
      </c>
      <c r="T138" s="1"/>
      <c r="AA138" s="1"/>
    </row>
    <row r="139" spans="8:27" x14ac:dyDescent="0.2">
      <c r="J139">
        <v>315.66666666666669</v>
      </c>
      <c r="P139">
        <v>414</v>
      </c>
      <c r="T139" s="1"/>
      <c r="AA139" s="1"/>
    </row>
    <row r="140" spans="8:27" x14ac:dyDescent="0.2">
      <c r="J140">
        <v>312.66666666666669</v>
      </c>
      <c r="P140">
        <v>575.66666666666663</v>
      </c>
      <c r="T140" s="1"/>
      <c r="AA140" s="1"/>
    </row>
    <row r="141" spans="8:27" x14ac:dyDescent="0.2">
      <c r="J141">
        <v>331.33333333333331</v>
      </c>
      <c r="P141">
        <v>377</v>
      </c>
      <c r="T141" s="1"/>
      <c r="AA141" s="1"/>
    </row>
    <row r="142" spans="8:27" x14ac:dyDescent="0.2">
      <c r="J142">
        <v>273.66666666666669</v>
      </c>
      <c r="P142">
        <v>437</v>
      </c>
      <c r="T142" s="1"/>
      <c r="AA142" s="1"/>
    </row>
    <row r="143" spans="8:27" x14ac:dyDescent="0.2">
      <c r="J143">
        <v>291.66666666666669</v>
      </c>
      <c r="P143">
        <v>272.33333333333331</v>
      </c>
      <c r="T143" s="1"/>
      <c r="AA143" s="1"/>
    </row>
    <row r="144" spans="8:27" x14ac:dyDescent="0.2">
      <c r="J144">
        <v>148.66666666666666</v>
      </c>
      <c r="P144">
        <v>368.33333333333331</v>
      </c>
      <c r="T144" s="1"/>
      <c r="AA144" s="1"/>
    </row>
    <row r="145" spans="10:27" x14ac:dyDescent="0.2">
      <c r="J145">
        <v>327.33333333333331</v>
      </c>
      <c r="P145">
        <v>257.33333333333331</v>
      </c>
      <c r="T145" s="1"/>
      <c r="AA145" s="1"/>
    </row>
    <row r="146" spans="10:27" x14ac:dyDescent="0.2">
      <c r="J146">
        <v>177.66666666666666</v>
      </c>
      <c r="P146">
        <v>235.66666666666666</v>
      </c>
      <c r="T146" s="1"/>
      <c r="AA146" s="1"/>
    </row>
    <row r="147" spans="10:27" x14ac:dyDescent="0.2">
      <c r="J147">
        <v>117.66666666666667</v>
      </c>
      <c r="P147">
        <v>553.33333333333337</v>
      </c>
      <c r="T147" s="1"/>
      <c r="AA147" s="1"/>
    </row>
    <row r="148" spans="10:27" x14ac:dyDescent="0.2">
      <c r="J148">
        <v>313.33333333333331</v>
      </c>
      <c r="P148">
        <v>516.33333333333337</v>
      </c>
      <c r="T148" s="1"/>
      <c r="AA148" s="1"/>
    </row>
    <row r="149" spans="10:27" x14ac:dyDescent="0.2">
      <c r="J149">
        <v>201.33333333333334</v>
      </c>
      <c r="P149">
        <v>504.66666666666669</v>
      </c>
      <c r="T149" s="1"/>
      <c r="AA149" s="1"/>
    </row>
    <row r="150" spans="10:27" x14ac:dyDescent="0.2">
      <c r="J150">
        <v>179</v>
      </c>
      <c r="P150">
        <v>505.66666666666669</v>
      </c>
      <c r="T150" s="1"/>
      <c r="AA150" s="1"/>
    </row>
    <row r="151" spans="10:27" x14ac:dyDescent="0.2">
      <c r="J151">
        <v>370</v>
      </c>
      <c r="P151">
        <v>560.33333333333337</v>
      </c>
      <c r="T151" s="1"/>
      <c r="AA151" s="1"/>
    </row>
    <row r="152" spans="10:27" x14ac:dyDescent="0.2">
      <c r="J152">
        <v>275.33333333333331</v>
      </c>
      <c r="P152">
        <v>571.66666666666663</v>
      </c>
      <c r="T152" s="1"/>
      <c r="AA152" s="1"/>
    </row>
    <row r="153" spans="10:27" x14ac:dyDescent="0.2">
      <c r="J153">
        <v>393.33333333333331</v>
      </c>
      <c r="P153">
        <v>327</v>
      </c>
      <c r="T153" s="1"/>
      <c r="AA153" s="1"/>
    </row>
    <row r="154" spans="10:27" x14ac:dyDescent="0.2">
      <c r="J154">
        <v>206</v>
      </c>
      <c r="P154">
        <v>412.33333333333331</v>
      </c>
      <c r="T154" s="1"/>
      <c r="AA154" s="1"/>
    </row>
    <row r="155" spans="10:27" x14ac:dyDescent="0.2">
      <c r="J155">
        <v>250</v>
      </c>
      <c r="P155">
        <v>539</v>
      </c>
      <c r="T155" s="1"/>
      <c r="AA155" s="1"/>
    </row>
    <row r="156" spans="10:27" x14ac:dyDescent="0.2">
      <c r="J156">
        <v>317.33333333333331</v>
      </c>
      <c r="P156">
        <v>104</v>
      </c>
      <c r="T156" s="1"/>
      <c r="AA156" s="1"/>
    </row>
    <row r="157" spans="10:27" x14ac:dyDescent="0.2">
      <c r="J157">
        <v>104</v>
      </c>
      <c r="P157">
        <v>535.33333333333337</v>
      </c>
      <c r="T157" s="1"/>
      <c r="AA157" s="1"/>
    </row>
    <row r="158" spans="10:27" x14ac:dyDescent="0.2">
      <c r="J158">
        <v>300.66666666666669</v>
      </c>
      <c r="P158">
        <v>353</v>
      </c>
      <c r="T158" s="1"/>
      <c r="AA158" s="1"/>
    </row>
    <row r="159" spans="10:27" x14ac:dyDescent="0.2">
      <c r="J159">
        <v>228.66666666666666</v>
      </c>
      <c r="P159">
        <v>321.66666666666669</v>
      </c>
      <c r="T159" s="1"/>
      <c r="AA159" s="1"/>
    </row>
    <row r="160" spans="10:27" x14ac:dyDescent="0.2">
      <c r="J160">
        <v>240</v>
      </c>
      <c r="T160" s="1"/>
      <c r="AA160" s="1"/>
    </row>
    <row r="161" spans="8:28" x14ac:dyDescent="0.2">
      <c r="N161" t="s">
        <v>6</v>
      </c>
      <c r="T161" s="1"/>
      <c r="AA161" s="1"/>
    </row>
    <row r="162" spans="8:28" x14ac:dyDescent="0.2">
      <c r="H162" s="2" t="s">
        <v>6</v>
      </c>
      <c r="N162" t="s">
        <v>129</v>
      </c>
      <c r="T162" s="1"/>
      <c r="AA162" s="1"/>
    </row>
    <row r="163" spans="8:28" x14ac:dyDescent="0.2">
      <c r="H163" s="2" t="s">
        <v>7</v>
      </c>
      <c r="N163" t="s">
        <v>331</v>
      </c>
      <c r="T163" s="1"/>
      <c r="AA163" s="1"/>
    </row>
    <row r="164" spans="8:28" x14ac:dyDescent="0.2">
      <c r="H164" s="2" t="s">
        <v>316</v>
      </c>
      <c r="N164" t="s">
        <v>332</v>
      </c>
      <c r="T164" s="1"/>
      <c r="AA164" s="1"/>
    </row>
    <row r="165" spans="8:28" x14ac:dyDescent="0.2">
      <c r="H165" s="2" t="s">
        <v>317</v>
      </c>
      <c r="N165" t="s">
        <v>333</v>
      </c>
      <c r="T165" s="1"/>
      <c r="AA165" s="1"/>
    </row>
    <row r="166" spans="8:28" x14ac:dyDescent="0.2">
      <c r="H166" s="2" t="s">
        <v>318</v>
      </c>
      <c r="N166" t="s">
        <v>334</v>
      </c>
      <c r="T166" s="1"/>
      <c r="AA166" s="1"/>
    </row>
    <row r="167" spans="8:28" x14ac:dyDescent="0.2">
      <c r="H167" s="2" t="s">
        <v>319</v>
      </c>
      <c r="N167" t="s">
        <v>335</v>
      </c>
      <c r="T167" s="1"/>
      <c r="AA167" s="1"/>
    </row>
    <row r="168" spans="8:28" x14ac:dyDescent="0.2">
      <c r="H168" s="2" t="s">
        <v>320</v>
      </c>
      <c r="N168" t="s">
        <v>336</v>
      </c>
      <c r="T168" s="1"/>
      <c r="AA168" s="1"/>
    </row>
    <row r="169" spans="8:28" x14ac:dyDescent="0.2">
      <c r="H169" s="2" t="s">
        <v>321</v>
      </c>
      <c r="N169" t="s">
        <v>337</v>
      </c>
      <c r="T169" s="1"/>
      <c r="AA169" s="1"/>
    </row>
    <row r="170" spans="8:28" x14ac:dyDescent="0.2">
      <c r="H170" s="2" t="s">
        <v>322</v>
      </c>
      <c r="N170" t="s">
        <v>338</v>
      </c>
      <c r="T170" s="1"/>
      <c r="AA170" s="1"/>
    </row>
    <row r="171" spans="8:28" x14ac:dyDescent="0.2">
      <c r="H171" s="2" t="s">
        <v>323</v>
      </c>
      <c r="N171" t="s">
        <v>339</v>
      </c>
      <c r="T171" s="1"/>
      <c r="AA171" s="1"/>
    </row>
    <row r="172" spans="8:28" x14ac:dyDescent="0.2">
      <c r="H172" s="2" t="s">
        <v>324</v>
      </c>
      <c r="N172" t="s">
        <v>340</v>
      </c>
      <c r="T172" s="1"/>
      <c r="AA172" s="1"/>
    </row>
    <row r="173" spans="8:28" x14ac:dyDescent="0.2">
      <c r="H173" s="2" t="s">
        <v>325</v>
      </c>
      <c r="N173" t="s">
        <v>341</v>
      </c>
      <c r="T173" s="1"/>
      <c r="AA173" s="1"/>
      <c r="AB173" s="2"/>
    </row>
    <row r="174" spans="8:28" x14ac:dyDescent="0.2">
      <c r="H174" s="2" t="s">
        <v>326</v>
      </c>
      <c r="N174" t="s">
        <v>342</v>
      </c>
      <c r="T174" s="1"/>
      <c r="AA174" s="1"/>
      <c r="AB174" s="2"/>
    </row>
    <row r="175" spans="8:28" x14ac:dyDescent="0.2">
      <c r="H175" s="2" t="s">
        <v>327</v>
      </c>
      <c r="N175" t="s">
        <v>343</v>
      </c>
      <c r="T175" s="1"/>
      <c r="AA175" s="1"/>
      <c r="AB175" s="2"/>
    </row>
    <row r="176" spans="8:28" x14ac:dyDescent="0.2">
      <c r="H176" s="2" t="s">
        <v>328</v>
      </c>
      <c r="N176" t="s">
        <v>344</v>
      </c>
      <c r="T176" s="1"/>
      <c r="AA176" s="1"/>
      <c r="AB176" s="2"/>
    </row>
    <row r="177" spans="8:28" x14ac:dyDescent="0.2">
      <c r="H177" s="2" t="s">
        <v>329</v>
      </c>
      <c r="N177" t="s">
        <v>345</v>
      </c>
      <c r="T177" s="1"/>
      <c r="AA177" s="1"/>
      <c r="AB177" s="2"/>
    </row>
    <row r="178" spans="8:28" x14ac:dyDescent="0.2">
      <c r="H178" s="2" t="s">
        <v>330</v>
      </c>
      <c r="N178" t="s">
        <v>37</v>
      </c>
      <c r="T178" s="1"/>
      <c r="AA178" s="1"/>
      <c r="AB178" s="3"/>
    </row>
    <row r="179" spans="8:28" x14ac:dyDescent="0.2">
      <c r="H179" s="3" t="s">
        <v>13</v>
      </c>
      <c r="N179" t="s">
        <v>38</v>
      </c>
      <c r="T179" s="1"/>
      <c r="AA179" s="1"/>
    </row>
    <row r="180" spans="8:28" x14ac:dyDescent="0.2">
      <c r="N180" t="s">
        <v>13</v>
      </c>
      <c r="T180" s="1"/>
      <c r="AA180" s="1"/>
    </row>
    <row r="181" spans="8:28" x14ac:dyDescent="0.2">
      <c r="T181" s="1"/>
      <c r="AA181" s="1"/>
    </row>
    <row r="182" spans="8:28" x14ac:dyDescent="0.2">
      <c r="T182" s="1"/>
      <c r="AA182" s="1"/>
    </row>
    <row r="183" spans="8:28" x14ac:dyDescent="0.2">
      <c r="T183" s="1"/>
      <c r="AA183" s="1"/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29BB-968D-4BB0-88DB-34D5A8DC8873}">
  <dimension ref="A1:AD252"/>
  <sheetViews>
    <sheetView workbookViewId="0">
      <selection activeCell="J15" sqref="J15"/>
    </sheetView>
  </sheetViews>
  <sheetFormatPr baseColWidth="10" defaultColWidth="11.5" defaultRowHeight="15" x14ac:dyDescent="0.2"/>
  <cols>
    <col min="5" max="5" width="11.5" style="1"/>
    <col min="12" max="12" width="11.5" style="1"/>
    <col min="19" max="19" width="11.5" style="1"/>
    <col min="26" max="26" width="11.5" style="1"/>
  </cols>
  <sheetData>
    <row r="1" spans="1:30" x14ac:dyDescent="0.2">
      <c r="A1" t="s">
        <v>9</v>
      </c>
      <c r="C1" t="s">
        <v>391</v>
      </c>
      <c r="F1" s="36" t="s">
        <v>10</v>
      </c>
      <c r="H1" s="9" t="s">
        <v>391</v>
      </c>
      <c r="M1" t="s">
        <v>11</v>
      </c>
      <c r="O1" t="s">
        <v>391</v>
      </c>
      <c r="T1" t="s">
        <v>12</v>
      </c>
      <c r="V1" t="s">
        <v>391</v>
      </c>
      <c r="AA1" t="s">
        <v>14</v>
      </c>
      <c r="AC1" t="s">
        <v>392</v>
      </c>
    </row>
    <row r="2" spans="1:30" x14ac:dyDescent="0.2">
      <c r="A2" t="s">
        <v>300</v>
      </c>
      <c r="B2" t="s">
        <v>301</v>
      </c>
      <c r="C2" t="s">
        <v>302</v>
      </c>
      <c r="F2" s="37" t="s">
        <v>300</v>
      </c>
      <c r="G2" s="37" t="s">
        <v>302</v>
      </c>
      <c r="H2" s="37" t="s">
        <v>95</v>
      </c>
      <c r="I2" s="37" t="s">
        <v>1</v>
      </c>
      <c r="M2" t="s">
        <v>300</v>
      </c>
      <c r="N2" t="s">
        <v>301</v>
      </c>
      <c r="O2" t="s">
        <v>302</v>
      </c>
      <c r="P2" t="s">
        <v>223</v>
      </c>
      <c r="Q2" t="s">
        <v>95</v>
      </c>
      <c r="T2" t="s">
        <v>300</v>
      </c>
      <c r="U2" t="s">
        <v>301</v>
      </c>
      <c r="V2" t="s">
        <v>302</v>
      </c>
      <c r="W2" t="s">
        <v>223</v>
      </c>
      <c r="X2" t="s">
        <v>95</v>
      </c>
      <c r="AA2" t="s">
        <v>300</v>
      </c>
      <c r="AB2" t="s">
        <v>302</v>
      </c>
      <c r="AC2" t="s">
        <v>95</v>
      </c>
      <c r="AD2" t="s">
        <v>1</v>
      </c>
    </row>
    <row r="3" spans="1:30" x14ac:dyDescent="0.2">
      <c r="A3" t="s">
        <v>364</v>
      </c>
      <c r="B3" t="s">
        <v>365</v>
      </c>
      <c r="C3">
        <v>1</v>
      </c>
      <c r="F3" s="37" t="s">
        <v>32</v>
      </c>
      <c r="G3" s="37">
        <v>20.281300000000002</v>
      </c>
      <c r="H3" s="37">
        <v>2.1204999999999998</v>
      </c>
      <c r="I3" s="37">
        <v>48</v>
      </c>
      <c r="M3" t="s">
        <v>369</v>
      </c>
      <c r="N3" t="s">
        <v>370</v>
      </c>
      <c r="O3">
        <v>275.5</v>
      </c>
      <c r="P3">
        <f>AVERAGE(O3:O29)</f>
        <v>285.94444444444446</v>
      </c>
      <c r="Q3">
        <f>STDEV(O3:O29)/SQRT(COUNT(O3:O29))</f>
        <v>19.71147534328485</v>
      </c>
      <c r="T3" t="s">
        <v>364</v>
      </c>
      <c r="U3" t="s">
        <v>379</v>
      </c>
      <c r="V3">
        <v>51.226551226551223</v>
      </c>
      <c r="W3">
        <f>AVERAGE(V3:V5)</f>
        <v>51.587301587301589</v>
      </c>
      <c r="X3">
        <f>STDEV(V3:V5)/SQRT(COUNT(V3:V5))</f>
        <v>2.4435345197512435</v>
      </c>
      <c r="AA3" t="s">
        <v>32</v>
      </c>
      <c r="AB3">
        <v>1.6666666666666667</v>
      </c>
      <c r="AC3">
        <v>1.1666666666666667</v>
      </c>
      <c r="AD3">
        <v>48</v>
      </c>
    </row>
    <row r="4" spans="1:30" x14ac:dyDescent="0.2">
      <c r="C4">
        <v>1.5</v>
      </c>
      <c r="F4" s="37"/>
      <c r="G4" s="37">
        <v>22.5625</v>
      </c>
      <c r="H4" s="37">
        <v>1.7074</v>
      </c>
      <c r="I4" s="37"/>
      <c r="O4">
        <v>262.5</v>
      </c>
      <c r="P4">
        <v>593.25</v>
      </c>
      <c r="Q4">
        <v>13.837370634877011</v>
      </c>
      <c r="V4">
        <v>55.988455988455989</v>
      </c>
      <c r="AB4">
        <v>1.6666666666666667</v>
      </c>
      <c r="AC4">
        <v>1.4240006242195886</v>
      </c>
    </row>
    <row r="5" spans="1:30" x14ac:dyDescent="0.2">
      <c r="C5">
        <v>3.5</v>
      </c>
      <c r="F5" s="37"/>
      <c r="G5" s="37">
        <v>22.406300000000002</v>
      </c>
      <c r="H5" s="37">
        <v>1.6660999999999999</v>
      </c>
      <c r="I5" s="37"/>
      <c r="O5">
        <v>230</v>
      </c>
      <c r="P5">
        <v>678.11111111111109</v>
      </c>
      <c r="Q5">
        <v>3.2572878329356603</v>
      </c>
      <c r="V5">
        <v>47.54689754689754</v>
      </c>
      <c r="AB5">
        <v>2.1666666666666665</v>
      </c>
      <c r="AC5">
        <v>0.60092521257733156</v>
      </c>
    </row>
    <row r="6" spans="1:30" ht="16" x14ac:dyDescent="0.2">
      <c r="C6">
        <v>6.5</v>
      </c>
      <c r="F6" s="37"/>
      <c r="G6" s="37">
        <v>25.9375</v>
      </c>
      <c r="H6" s="37">
        <v>1.2321</v>
      </c>
      <c r="I6" s="37"/>
      <c r="O6">
        <v>440</v>
      </c>
      <c r="P6">
        <v>648.88461538461536</v>
      </c>
      <c r="Q6">
        <v>5.482907630088647</v>
      </c>
      <c r="V6" s="5"/>
      <c r="AB6">
        <v>2.5</v>
      </c>
      <c r="AC6">
        <v>1.0408329997330663</v>
      </c>
    </row>
    <row r="7" spans="1:30" x14ac:dyDescent="0.2">
      <c r="C7">
        <v>5</v>
      </c>
      <c r="F7" s="37"/>
      <c r="G7" s="37">
        <v>24.6875</v>
      </c>
      <c r="H7" s="37">
        <v>1.4697</v>
      </c>
      <c r="I7" s="37"/>
      <c r="O7">
        <v>342</v>
      </c>
      <c r="P7">
        <v>515.72222222222217</v>
      </c>
      <c r="Q7">
        <v>16.479598311058059</v>
      </c>
      <c r="T7" t="s">
        <v>380</v>
      </c>
      <c r="U7" t="s">
        <v>381</v>
      </c>
      <c r="V7">
        <v>9.2352092352092185</v>
      </c>
      <c r="W7">
        <f xml:space="preserve"> AVERAGE(V7:V9)</f>
        <v>9.3795093795093649</v>
      </c>
      <c r="X7">
        <f>STDEV(V7:V29)/SQRT(COUNT(V7:V9))</f>
        <v>7.3210402441922069</v>
      </c>
      <c r="AB7">
        <v>4.166666666666667</v>
      </c>
      <c r="AC7">
        <v>0.7264831572567787</v>
      </c>
    </row>
    <row r="8" spans="1:30" x14ac:dyDescent="0.2">
      <c r="C8">
        <v>7.5</v>
      </c>
      <c r="F8" s="37"/>
      <c r="G8" s="37">
        <v>26.5625</v>
      </c>
      <c r="H8" s="37">
        <v>1.0869</v>
      </c>
      <c r="I8" s="37"/>
      <c r="O8">
        <v>407</v>
      </c>
      <c r="P8">
        <v>593.33333333333337</v>
      </c>
      <c r="Q8">
        <v>16.571995614510168</v>
      </c>
      <c r="V8">
        <v>4.4733044733044629</v>
      </c>
      <c r="AB8">
        <v>4.833333333333333</v>
      </c>
      <c r="AC8">
        <v>0.33333333333333337</v>
      </c>
    </row>
    <row r="9" spans="1:30" x14ac:dyDescent="0.2">
      <c r="C9">
        <v>7</v>
      </c>
      <c r="F9" s="37"/>
      <c r="G9" s="37">
        <v>26.125</v>
      </c>
      <c r="H9" s="37">
        <v>1.0969</v>
      </c>
      <c r="I9" s="37"/>
      <c r="O9">
        <v>167.5</v>
      </c>
      <c r="P9">
        <v>676.25925925925924</v>
      </c>
      <c r="Q9">
        <v>4.1118072611997825</v>
      </c>
      <c r="V9">
        <v>14.430014430014415</v>
      </c>
      <c r="AB9">
        <v>6.666666666666667</v>
      </c>
      <c r="AC9">
        <v>1.0929064207169994</v>
      </c>
    </row>
    <row r="10" spans="1:30" ht="16" x14ac:dyDescent="0.2">
      <c r="C10">
        <v>13</v>
      </c>
      <c r="F10" s="37"/>
      <c r="G10" s="37">
        <v>25.906300000000002</v>
      </c>
      <c r="H10" s="37">
        <v>1.1882999999999999</v>
      </c>
      <c r="I10" s="37"/>
      <c r="O10">
        <v>408</v>
      </c>
      <c r="P10">
        <v>650.5</v>
      </c>
      <c r="Q10">
        <v>5.6000733850377555</v>
      </c>
      <c r="V10" s="5"/>
      <c r="AB10">
        <v>7.833333333333333</v>
      </c>
      <c r="AC10">
        <v>0.66666666666666552</v>
      </c>
    </row>
    <row r="11" spans="1:30" x14ac:dyDescent="0.2">
      <c r="C11">
        <v>16.5</v>
      </c>
      <c r="F11" s="37"/>
      <c r="G11" s="37">
        <v>25.218800000000002</v>
      </c>
      <c r="H11" s="37">
        <v>1.1732</v>
      </c>
      <c r="I11" s="37"/>
      <c r="O11">
        <v>288</v>
      </c>
      <c r="T11" t="s">
        <v>364</v>
      </c>
      <c r="U11" t="s">
        <v>382</v>
      </c>
      <c r="V11">
        <v>38.239538239538241</v>
      </c>
      <c r="W11">
        <f>AVERAGE(V11:V13)</f>
        <v>35.786435786435781</v>
      </c>
      <c r="X11">
        <f>STDEV(V11:V33)/SQRT(COUNT(V11:V13))</f>
        <v>5.2946552629723334</v>
      </c>
      <c r="AB11">
        <v>10</v>
      </c>
      <c r="AC11">
        <v>0.76376261582597338</v>
      </c>
    </row>
    <row r="12" spans="1:30" x14ac:dyDescent="0.2">
      <c r="C12">
        <v>18</v>
      </c>
      <c r="F12" s="37"/>
      <c r="G12" s="37">
        <v>26.6875</v>
      </c>
      <c r="H12" s="37">
        <v>1.1434</v>
      </c>
      <c r="I12" s="37"/>
      <c r="O12">
        <v>240</v>
      </c>
      <c r="V12">
        <v>28.715728715728716</v>
      </c>
      <c r="AB12">
        <v>10.833333333333334</v>
      </c>
      <c r="AC12">
        <v>0.92796072713833877</v>
      </c>
    </row>
    <row r="13" spans="1:30" x14ac:dyDescent="0.2">
      <c r="C13">
        <v>19.5</v>
      </c>
      <c r="F13" s="37"/>
      <c r="G13" s="37">
        <v>26.781300000000002</v>
      </c>
      <c r="H13" s="37">
        <v>0.98346999999999996</v>
      </c>
      <c r="I13" s="37"/>
      <c r="O13">
        <v>142.5</v>
      </c>
      <c r="V13">
        <v>40.404040404040401</v>
      </c>
      <c r="AB13">
        <v>11.833333333333334</v>
      </c>
      <c r="AC13">
        <v>0.44095855184409849</v>
      </c>
    </row>
    <row r="14" spans="1:30" ht="16" x14ac:dyDescent="0.2">
      <c r="C14">
        <v>19.5</v>
      </c>
      <c r="F14" s="37"/>
      <c r="G14" s="37">
        <v>26.843800000000002</v>
      </c>
      <c r="H14" s="37">
        <v>1.026</v>
      </c>
      <c r="I14" s="37"/>
      <c r="O14">
        <v>426</v>
      </c>
      <c r="V14" s="5"/>
      <c r="AB14">
        <v>13.166666666666666</v>
      </c>
      <c r="AC14">
        <v>2.6193722742502841</v>
      </c>
    </row>
    <row r="15" spans="1:30" x14ac:dyDescent="0.2">
      <c r="C15">
        <v>22.5</v>
      </c>
      <c r="F15" s="37"/>
      <c r="G15" s="37">
        <v>26.9375</v>
      </c>
      <c r="H15" s="37">
        <v>0.77112000000000003</v>
      </c>
      <c r="I15" s="37"/>
      <c r="O15">
        <v>524</v>
      </c>
      <c r="T15" t="s">
        <v>364</v>
      </c>
      <c r="U15" t="s">
        <v>383</v>
      </c>
      <c r="V15">
        <v>14.935064935064934</v>
      </c>
      <c r="W15">
        <f>AVERAGE(V15:V17)</f>
        <v>23.376623376623375</v>
      </c>
      <c r="X15">
        <f>STDEV(V15:V37)/SQRT(COUNT(V15:V17))</f>
        <v>4.3235896873242892</v>
      </c>
      <c r="AB15">
        <v>12.666666666666666</v>
      </c>
      <c r="AC15">
        <v>1.7400510848184259</v>
      </c>
    </row>
    <row r="16" spans="1:30" x14ac:dyDescent="0.2">
      <c r="C16">
        <v>19.5</v>
      </c>
      <c r="F16" s="37"/>
      <c r="G16" s="37">
        <v>26.6875</v>
      </c>
      <c r="H16" s="37">
        <v>1.1301000000000001</v>
      </c>
      <c r="I16" s="37"/>
      <c r="O16">
        <v>246</v>
      </c>
      <c r="V16">
        <v>29.220779220779225</v>
      </c>
      <c r="AB16">
        <v>14</v>
      </c>
      <c r="AC16">
        <v>0.86602540378443871</v>
      </c>
    </row>
    <row r="17" spans="3:29" x14ac:dyDescent="0.2">
      <c r="C17">
        <v>22</v>
      </c>
      <c r="F17" s="37"/>
      <c r="G17" s="37">
        <v>26.906300000000002</v>
      </c>
      <c r="H17" s="37">
        <v>0.95709999999999995</v>
      </c>
      <c r="I17" s="37"/>
      <c r="O17">
        <v>153.5</v>
      </c>
      <c r="V17">
        <v>25.97402597402597</v>
      </c>
      <c r="AB17">
        <v>11.166666666666666</v>
      </c>
      <c r="AC17">
        <v>3.3829638550307406</v>
      </c>
    </row>
    <row r="18" spans="3:29" x14ac:dyDescent="0.2">
      <c r="C18">
        <v>21</v>
      </c>
      <c r="F18" s="37"/>
      <c r="G18" s="37">
        <v>26.375</v>
      </c>
      <c r="H18" s="37">
        <v>1.2642</v>
      </c>
      <c r="I18" s="37"/>
      <c r="O18">
        <v>388.5</v>
      </c>
      <c r="AB18">
        <v>13.166666666666666</v>
      </c>
      <c r="AC18">
        <v>1.3017082793177734</v>
      </c>
    </row>
    <row r="19" spans="3:29" x14ac:dyDescent="0.2">
      <c r="C19">
        <v>20</v>
      </c>
      <c r="F19" s="37"/>
      <c r="G19" s="37">
        <v>24.781300000000002</v>
      </c>
      <c r="H19" s="37">
        <v>1.4268000000000001</v>
      </c>
      <c r="I19" s="37"/>
      <c r="O19">
        <v>188</v>
      </c>
      <c r="T19" s="2" t="s">
        <v>6</v>
      </c>
      <c r="AB19">
        <v>13</v>
      </c>
      <c r="AC19">
        <v>1.8027756377319948</v>
      </c>
    </row>
    <row r="20" spans="3:29" x14ac:dyDescent="0.2">
      <c r="C20">
        <v>19</v>
      </c>
      <c r="F20" s="37"/>
      <c r="G20" s="37">
        <v>24.343800000000002</v>
      </c>
      <c r="H20" s="37">
        <v>1.5866</v>
      </c>
      <c r="I20" s="37"/>
      <c r="O20">
        <v>209.5</v>
      </c>
      <c r="T20" s="2" t="s">
        <v>18</v>
      </c>
      <c r="AB20">
        <v>11.166666666666666</v>
      </c>
      <c r="AC20">
        <v>1.7638342073763946</v>
      </c>
    </row>
    <row r="21" spans="3:29" x14ac:dyDescent="0.2">
      <c r="C21">
        <v>14</v>
      </c>
      <c r="F21" s="37"/>
      <c r="G21" s="37">
        <v>24.031300000000002</v>
      </c>
      <c r="H21" s="37">
        <v>1.4794</v>
      </c>
      <c r="I21" s="37"/>
      <c r="O21">
        <v>402.5</v>
      </c>
      <c r="T21" s="2" t="s">
        <v>384</v>
      </c>
      <c r="AB21">
        <v>9</v>
      </c>
      <c r="AC21">
        <v>1.7559422921421231</v>
      </c>
    </row>
    <row r="22" spans="3:29" x14ac:dyDescent="0.2">
      <c r="C22">
        <v>14</v>
      </c>
      <c r="F22" s="37"/>
      <c r="G22" s="37">
        <v>23.718800000000002</v>
      </c>
      <c r="H22" s="37">
        <v>1.6772</v>
      </c>
      <c r="I22" s="37"/>
      <c r="O22">
        <v>163</v>
      </c>
      <c r="T22" s="2" t="s">
        <v>385</v>
      </c>
      <c r="AB22">
        <v>6.666666666666667</v>
      </c>
      <c r="AC22">
        <v>0.92796072713833622</v>
      </c>
    </row>
    <row r="23" spans="3:29" x14ac:dyDescent="0.2">
      <c r="C23">
        <v>9</v>
      </c>
      <c r="F23" s="37"/>
      <c r="G23" s="37">
        <v>19.468800000000002</v>
      </c>
      <c r="H23" s="37">
        <v>2.2669999999999999</v>
      </c>
      <c r="I23" s="37"/>
      <c r="O23">
        <v>210.5</v>
      </c>
      <c r="T23" s="2" t="s">
        <v>386</v>
      </c>
      <c r="AB23">
        <v>5.333333333333333</v>
      </c>
      <c r="AC23">
        <v>1.2018504251546636</v>
      </c>
    </row>
    <row r="24" spans="3:29" x14ac:dyDescent="0.2">
      <c r="C24">
        <v>5</v>
      </c>
      <c r="F24" s="37"/>
      <c r="G24" s="37">
        <v>18.031300000000002</v>
      </c>
      <c r="H24" s="37">
        <v>2.4131999999999998</v>
      </c>
      <c r="I24" s="37"/>
      <c r="O24">
        <v>292</v>
      </c>
      <c r="T24" s="2" t="s">
        <v>387</v>
      </c>
      <c r="AB24">
        <v>3.8333333333333335</v>
      </c>
      <c r="AC24">
        <v>0.88191710368819676</v>
      </c>
    </row>
    <row r="25" spans="3:29" x14ac:dyDescent="0.2">
      <c r="C25">
        <v>1</v>
      </c>
      <c r="F25" s="37"/>
      <c r="G25" s="37">
        <v>16.906300000000002</v>
      </c>
      <c r="H25" s="37">
        <v>2.4887999999999999</v>
      </c>
      <c r="I25" s="37"/>
      <c r="O25">
        <v>341</v>
      </c>
      <c r="T25" s="2" t="s">
        <v>388</v>
      </c>
      <c r="AB25">
        <v>3</v>
      </c>
      <c r="AC25">
        <v>1</v>
      </c>
    </row>
    <row r="26" spans="3:29" x14ac:dyDescent="0.2">
      <c r="C26">
        <v>0</v>
      </c>
      <c r="F26" s="37"/>
      <c r="G26" s="37">
        <v>23.218800000000002</v>
      </c>
      <c r="H26" s="37">
        <v>1.9075</v>
      </c>
      <c r="I26" s="37"/>
      <c r="O26">
        <v>161.5</v>
      </c>
      <c r="T26" s="2" t="s">
        <v>389</v>
      </c>
      <c r="AB26">
        <v>2.3333333333333335</v>
      </c>
      <c r="AC26">
        <v>1.3333333333333335</v>
      </c>
    </row>
    <row r="27" spans="3:29" x14ac:dyDescent="0.2">
      <c r="C27">
        <v>2</v>
      </c>
      <c r="F27" s="37"/>
      <c r="G27" s="37">
        <v>24.25</v>
      </c>
      <c r="H27" s="37">
        <v>1.8084</v>
      </c>
      <c r="I27" s="37"/>
      <c r="O27">
        <v>271</v>
      </c>
      <c r="T27" s="2" t="s">
        <v>37</v>
      </c>
      <c r="AB27">
        <v>3.1666666666666665</v>
      </c>
      <c r="AC27">
        <v>1.0929064207170003</v>
      </c>
    </row>
    <row r="28" spans="3:29" x14ac:dyDescent="0.2">
      <c r="C28">
        <v>13.5</v>
      </c>
      <c r="F28" s="37"/>
      <c r="G28" s="37">
        <v>25.093800000000002</v>
      </c>
      <c r="H28" s="37">
        <v>1.6797</v>
      </c>
      <c r="I28" s="37"/>
      <c r="O28">
        <v>250.5</v>
      </c>
      <c r="T28" s="2" t="s">
        <v>38</v>
      </c>
      <c r="AB28">
        <v>6.5</v>
      </c>
      <c r="AC28">
        <v>1.3228756555322954</v>
      </c>
    </row>
    <row r="29" spans="3:29" x14ac:dyDescent="0.2">
      <c r="C29">
        <v>20</v>
      </c>
      <c r="F29" s="37"/>
      <c r="G29" s="37">
        <v>24.593800000000002</v>
      </c>
      <c r="H29" s="37">
        <v>1.4514</v>
      </c>
      <c r="I29" s="37"/>
      <c r="O29">
        <v>290</v>
      </c>
      <c r="T29" s="3" t="s">
        <v>13</v>
      </c>
      <c r="AB29">
        <v>10.666666666666666</v>
      </c>
      <c r="AC29">
        <v>0.92796072713833877</v>
      </c>
    </row>
    <row r="30" spans="3:29" x14ac:dyDescent="0.2">
      <c r="C30">
        <v>22.5</v>
      </c>
      <c r="F30" s="37"/>
      <c r="G30" s="37">
        <v>26.3125</v>
      </c>
      <c r="H30" s="37">
        <v>1.2309000000000001</v>
      </c>
      <c r="I30" s="37"/>
      <c r="AB30">
        <v>15.5</v>
      </c>
      <c r="AC30">
        <v>1.0408329997330663</v>
      </c>
    </row>
    <row r="31" spans="3:29" x14ac:dyDescent="0.2">
      <c r="C31">
        <v>24.5</v>
      </c>
      <c r="F31" s="37"/>
      <c r="G31" s="37">
        <v>26.531300000000002</v>
      </c>
      <c r="H31" s="37">
        <v>1.0767</v>
      </c>
      <c r="I31" s="37"/>
      <c r="M31" t="s">
        <v>369</v>
      </c>
      <c r="N31" t="s">
        <v>371</v>
      </c>
      <c r="O31">
        <v>587.5</v>
      </c>
      <c r="P31">
        <f>AVERAGE(O31:O54)</f>
        <v>593.25</v>
      </c>
      <c r="Q31">
        <f>STDEV(O31:O54)/SQRT(COUNT(O31:O54))</f>
        <v>13.837370634877011</v>
      </c>
      <c r="AB31">
        <v>20.666666666666668</v>
      </c>
      <c r="AC31">
        <v>1.9220937657784694</v>
      </c>
    </row>
    <row r="32" spans="3:29" x14ac:dyDescent="0.2">
      <c r="C32">
        <v>25.5</v>
      </c>
      <c r="F32" s="37"/>
      <c r="G32" s="37">
        <v>26.343800000000002</v>
      </c>
      <c r="H32" s="37">
        <v>1.0772999999999999</v>
      </c>
      <c r="I32" s="37"/>
      <c r="O32">
        <v>623</v>
      </c>
      <c r="P32">
        <v>678.11111111111109</v>
      </c>
      <c r="Q32">
        <v>3.2572878329356603</v>
      </c>
      <c r="AB32">
        <v>20.5</v>
      </c>
      <c r="AC32">
        <v>1.3228756555322954</v>
      </c>
    </row>
    <row r="33" spans="3:29" x14ac:dyDescent="0.2">
      <c r="C33">
        <v>25</v>
      </c>
      <c r="F33" s="37"/>
      <c r="G33" s="37">
        <v>24.843800000000002</v>
      </c>
      <c r="H33" s="37">
        <v>1.4905999999999999</v>
      </c>
      <c r="I33" s="37"/>
      <c r="O33">
        <v>570</v>
      </c>
      <c r="P33">
        <v>648.88461538461536</v>
      </c>
      <c r="Q33">
        <v>5.482907630088647</v>
      </c>
      <c r="AB33">
        <v>23.166666666666668</v>
      </c>
      <c r="AC33">
        <v>1.5898986690282428</v>
      </c>
    </row>
    <row r="34" spans="3:29" x14ac:dyDescent="0.2">
      <c r="C34">
        <v>24</v>
      </c>
      <c r="F34" s="37"/>
      <c r="G34" s="37">
        <v>26.8125</v>
      </c>
      <c r="H34" s="37">
        <v>1.0184</v>
      </c>
      <c r="I34" s="37"/>
      <c r="O34">
        <v>637.5</v>
      </c>
      <c r="P34">
        <v>515.72222222222217</v>
      </c>
      <c r="Q34">
        <v>16.479598311058059</v>
      </c>
      <c r="AB34">
        <v>20.333333333333332</v>
      </c>
      <c r="AC34">
        <v>1.0929064207170001</v>
      </c>
    </row>
    <row r="35" spans="3:29" x14ac:dyDescent="0.2">
      <c r="C35">
        <v>23.5</v>
      </c>
      <c r="F35" s="37"/>
      <c r="G35" s="37">
        <v>25.25</v>
      </c>
      <c r="H35" s="37">
        <v>1.25</v>
      </c>
      <c r="I35" s="37"/>
      <c r="O35">
        <v>629</v>
      </c>
      <c r="P35">
        <v>593.33333333333337</v>
      </c>
      <c r="Q35">
        <v>16.571995614510168</v>
      </c>
      <c r="AB35">
        <v>17.5</v>
      </c>
      <c r="AC35">
        <v>0.86602540378443871</v>
      </c>
    </row>
    <row r="36" spans="3:29" x14ac:dyDescent="0.2">
      <c r="C36">
        <v>23.5</v>
      </c>
      <c r="F36" s="37"/>
      <c r="G36" s="37">
        <v>26.0625</v>
      </c>
      <c r="H36" s="37">
        <v>1.2385999999999999</v>
      </c>
      <c r="I36" s="37"/>
      <c r="O36">
        <v>530.5</v>
      </c>
      <c r="P36">
        <v>676.25925925925924</v>
      </c>
      <c r="Q36">
        <v>4.1118072611997825</v>
      </c>
      <c r="AB36">
        <v>19.5</v>
      </c>
      <c r="AC36">
        <v>1.6072751268321592</v>
      </c>
    </row>
    <row r="37" spans="3:29" x14ac:dyDescent="0.2">
      <c r="C37">
        <v>23.5</v>
      </c>
      <c r="F37" s="37"/>
      <c r="G37" s="37">
        <v>25.25</v>
      </c>
      <c r="H37" s="37">
        <v>1.4762999999999999</v>
      </c>
      <c r="I37" s="37"/>
      <c r="O37">
        <v>603</v>
      </c>
      <c r="P37">
        <v>650.5</v>
      </c>
      <c r="Q37">
        <v>5.6000733850377555</v>
      </c>
      <c r="AB37">
        <v>20</v>
      </c>
      <c r="AC37">
        <v>1.5000000000000002</v>
      </c>
    </row>
    <row r="38" spans="3:29" x14ac:dyDescent="0.2">
      <c r="C38">
        <v>23</v>
      </c>
      <c r="F38" s="37"/>
      <c r="G38" s="37">
        <v>24.0625</v>
      </c>
      <c r="H38" s="37">
        <v>1.4041999999999999</v>
      </c>
      <c r="I38" s="37"/>
      <c r="O38">
        <v>578.5</v>
      </c>
      <c r="AB38">
        <v>22</v>
      </c>
      <c r="AC38">
        <v>1</v>
      </c>
    </row>
    <row r="39" spans="3:29" x14ac:dyDescent="0.2">
      <c r="C39">
        <v>24</v>
      </c>
      <c r="F39" s="37"/>
      <c r="G39" s="37">
        <v>25.781300000000002</v>
      </c>
      <c r="H39" s="37">
        <v>1.2343999999999999</v>
      </c>
      <c r="I39" s="37"/>
      <c r="O39">
        <v>432</v>
      </c>
      <c r="AB39">
        <v>19.5</v>
      </c>
      <c r="AC39">
        <v>1.5275252316519468</v>
      </c>
    </row>
    <row r="40" spans="3:29" x14ac:dyDescent="0.2">
      <c r="C40">
        <v>22.5</v>
      </c>
      <c r="F40" s="37"/>
      <c r="G40" s="37">
        <v>26.218800000000002</v>
      </c>
      <c r="H40" s="37">
        <v>1.2311000000000001</v>
      </c>
      <c r="I40" s="37"/>
      <c r="O40">
        <v>668.5</v>
      </c>
      <c r="AB40">
        <v>19.333333333333332</v>
      </c>
      <c r="AC40">
        <v>1.5898986690282466</v>
      </c>
    </row>
    <row r="41" spans="3:29" x14ac:dyDescent="0.2">
      <c r="C41">
        <v>23</v>
      </c>
      <c r="F41" s="37"/>
      <c r="G41" s="37">
        <v>25.093800000000002</v>
      </c>
      <c r="H41" s="37">
        <v>1.1702999999999999</v>
      </c>
      <c r="I41" s="37"/>
      <c r="O41">
        <v>627.5</v>
      </c>
      <c r="AB41">
        <v>18.5</v>
      </c>
      <c r="AC41">
        <v>2</v>
      </c>
    </row>
    <row r="42" spans="3:29" x14ac:dyDescent="0.2">
      <c r="C42">
        <v>24.5</v>
      </c>
      <c r="F42" s="37"/>
      <c r="G42" s="37">
        <v>22.968800000000002</v>
      </c>
      <c r="H42" s="37">
        <v>1.5884</v>
      </c>
      <c r="I42" s="37"/>
      <c r="O42">
        <v>579</v>
      </c>
      <c r="AB42">
        <v>16.833333333333332</v>
      </c>
      <c r="AC42">
        <v>1.3642254619787395</v>
      </c>
    </row>
    <row r="43" spans="3:29" x14ac:dyDescent="0.2">
      <c r="C43">
        <v>23.5</v>
      </c>
      <c r="F43" s="37"/>
      <c r="G43" s="37">
        <v>25.718800000000002</v>
      </c>
      <c r="H43" s="37">
        <v>1.0152000000000001</v>
      </c>
      <c r="I43" s="37"/>
      <c r="O43">
        <v>577.5</v>
      </c>
      <c r="AB43">
        <v>17.666666666666668</v>
      </c>
      <c r="AC43">
        <v>0.60092521257733156</v>
      </c>
    </row>
    <row r="44" spans="3:29" x14ac:dyDescent="0.2">
      <c r="C44">
        <v>22.5</v>
      </c>
      <c r="F44" s="37"/>
      <c r="G44" s="37">
        <v>25.8125</v>
      </c>
      <c r="H44" s="37">
        <v>1.0864</v>
      </c>
      <c r="I44" s="37"/>
      <c r="O44">
        <v>592.5</v>
      </c>
      <c r="AB44">
        <v>18.666666666666668</v>
      </c>
      <c r="AC44">
        <v>1.1666666666666667</v>
      </c>
    </row>
    <row r="45" spans="3:29" x14ac:dyDescent="0.2">
      <c r="C45">
        <v>22.5</v>
      </c>
      <c r="F45" s="37"/>
      <c r="G45" s="37">
        <v>25.3125</v>
      </c>
      <c r="H45" s="37">
        <v>1.4691000000000001</v>
      </c>
      <c r="I45" s="37"/>
      <c r="O45">
        <v>669.5</v>
      </c>
      <c r="AB45">
        <v>15</v>
      </c>
      <c r="AC45">
        <v>1.7559422921421231</v>
      </c>
    </row>
    <row r="46" spans="3:29" x14ac:dyDescent="0.2">
      <c r="C46">
        <v>23</v>
      </c>
      <c r="F46" s="37"/>
      <c r="G46" s="37">
        <v>24.0625</v>
      </c>
      <c r="H46" s="37">
        <v>1.524</v>
      </c>
      <c r="I46" s="37"/>
      <c r="O46">
        <v>590.5</v>
      </c>
      <c r="AB46">
        <v>14.5</v>
      </c>
      <c r="AC46">
        <v>2.7838821814150112</v>
      </c>
    </row>
    <row r="47" spans="3:29" x14ac:dyDescent="0.2">
      <c r="C47">
        <v>22.5</v>
      </c>
      <c r="F47" s="37"/>
      <c r="G47" s="37">
        <v>22.3125</v>
      </c>
      <c r="H47" s="37">
        <v>1.87</v>
      </c>
      <c r="I47" s="37"/>
      <c r="O47">
        <v>649.5</v>
      </c>
      <c r="AB47">
        <v>9.6666666666666661</v>
      </c>
      <c r="AC47">
        <v>4.3716256828680011</v>
      </c>
    </row>
    <row r="48" spans="3:29" x14ac:dyDescent="0.2">
      <c r="C48">
        <v>24</v>
      </c>
      <c r="F48" s="37"/>
      <c r="G48" s="37">
        <v>21.906300000000002</v>
      </c>
      <c r="H48" s="37">
        <v>1.893</v>
      </c>
      <c r="I48" s="37"/>
      <c r="O48">
        <v>671.5</v>
      </c>
      <c r="AB48">
        <v>5.333333333333333</v>
      </c>
      <c r="AC48">
        <v>2.0480342879074183</v>
      </c>
    </row>
    <row r="49" spans="1:30" x14ac:dyDescent="0.2">
      <c r="C49">
        <v>24.5</v>
      </c>
      <c r="F49" s="37"/>
      <c r="G49" s="37">
        <v>19.4375</v>
      </c>
      <c r="H49" s="37">
        <v>2.2046999999999999</v>
      </c>
      <c r="I49" s="37"/>
      <c r="O49">
        <v>420.5</v>
      </c>
      <c r="AB49">
        <v>6.666666666666667</v>
      </c>
      <c r="AC49">
        <v>2.3154073315749675</v>
      </c>
    </row>
    <row r="50" spans="1:30" x14ac:dyDescent="0.2">
      <c r="C50">
        <v>9.5</v>
      </c>
      <c r="F50" s="37"/>
      <c r="G50" s="37">
        <v>17.468800000000002</v>
      </c>
      <c r="H50" s="37">
        <v>2.5388000000000002</v>
      </c>
      <c r="I50" s="37"/>
      <c r="O50">
        <v>613.5</v>
      </c>
      <c r="AB50">
        <v>4.333333333333333</v>
      </c>
      <c r="AC50">
        <v>2.2047927592204921</v>
      </c>
    </row>
    <row r="51" spans="1:30" ht="16" x14ac:dyDescent="0.2">
      <c r="F51" s="37"/>
      <c r="G51" s="37"/>
      <c r="H51" s="39"/>
      <c r="I51" s="37"/>
      <c r="O51">
        <v>619</v>
      </c>
      <c r="AC51" s="5"/>
    </row>
    <row r="52" spans="1:30" x14ac:dyDescent="0.2">
      <c r="A52" t="s">
        <v>364</v>
      </c>
      <c r="B52" t="s">
        <v>366</v>
      </c>
      <c r="C52">
        <v>23.5</v>
      </c>
      <c r="F52" s="37" t="s">
        <v>48</v>
      </c>
      <c r="G52" s="37">
        <v>21.843800000000002</v>
      </c>
      <c r="H52" s="37">
        <v>1.8907</v>
      </c>
      <c r="I52" s="37">
        <v>48</v>
      </c>
      <c r="O52">
        <v>697</v>
      </c>
      <c r="AA52" t="s">
        <v>48</v>
      </c>
      <c r="AB52">
        <v>0</v>
      </c>
      <c r="AC52">
        <v>0</v>
      </c>
      <c r="AD52">
        <v>48</v>
      </c>
    </row>
    <row r="53" spans="1:30" x14ac:dyDescent="0.2">
      <c r="C53">
        <v>25</v>
      </c>
      <c r="F53" s="37"/>
      <c r="G53" s="37">
        <v>25.031300000000002</v>
      </c>
      <c r="H53" s="37">
        <v>1.4483999999999999</v>
      </c>
      <c r="I53" s="37"/>
      <c r="O53">
        <v>535</v>
      </c>
      <c r="AB53">
        <v>0.33333333333333331</v>
      </c>
      <c r="AC53">
        <v>0.33333333333333337</v>
      </c>
    </row>
    <row r="54" spans="1:30" x14ac:dyDescent="0.2">
      <c r="C54">
        <v>23</v>
      </c>
      <c r="F54" s="37"/>
      <c r="G54" s="37">
        <v>27.8125</v>
      </c>
      <c r="H54" s="37">
        <v>0.84653</v>
      </c>
      <c r="I54" s="37"/>
      <c r="O54">
        <v>536</v>
      </c>
      <c r="AB54">
        <v>2</v>
      </c>
      <c r="AC54">
        <v>0.57735026918962584</v>
      </c>
    </row>
    <row r="55" spans="1:30" x14ac:dyDescent="0.2">
      <c r="C55">
        <v>24</v>
      </c>
      <c r="F55" s="37"/>
      <c r="G55" s="37">
        <v>27.5</v>
      </c>
      <c r="H55" s="37">
        <v>0.82182999999999995</v>
      </c>
      <c r="I55" s="37"/>
      <c r="AB55">
        <v>5.666666666666667</v>
      </c>
      <c r="AC55">
        <v>0.88191710368819731</v>
      </c>
    </row>
    <row r="56" spans="1:30" x14ac:dyDescent="0.2">
      <c r="C56">
        <v>26</v>
      </c>
      <c r="F56" s="37"/>
      <c r="G56" s="37">
        <v>28.968800000000002</v>
      </c>
      <c r="H56" s="37">
        <v>0.40532000000000001</v>
      </c>
      <c r="I56" s="37"/>
      <c r="M56" t="s">
        <v>372</v>
      </c>
      <c r="N56" t="s">
        <v>373</v>
      </c>
      <c r="O56">
        <v>684.5</v>
      </c>
      <c r="P56">
        <f>AVERAGE(O56:O82)</f>
        <v>678.11111111111109</v>
      </c>
      <c r="Q56">
        <f>STDEV(O56:O82)/SQRT(COUNT(O56:O82))</f>
        <v>3.2572878329356603</v>
      </c>
      <c r="AB56">
        <v>10.333333333333334</v>
      </c>
      <c r="AC56">
        <v>0.33333333333333331</v>
      </c>
    </row>
    <row r="57" spans="1:30" x14ac:dyDescent="0.2">
      <c r="C57">
        <v>25</v>
      </c>
      <c r="F57" s="37"/>
      <c r="G57" s="37">
        <v>28.375</v>
      </c>
      <c r="H57" s="37">
        <v>0.51539000000000001</v>
      </c>
      <c r="I57" s="37"/>
      <c r="O57">
        <v>636.5</v>
      </c>
      <c r="P57">
        <v>648.88461538461536</v>
      </c>
      <c r="Q57">
        <v>5.482907630088647</v>
      </c>
      <c r="AB57">
        <v>15</v>
      </c>
      <c r="AC57">
        <v>1</v>
      </c>
    </row>
    <row r="58" spans="1:30" x14ac:dyDescent="0.2">
      <c r="C58">
        <v>25.5</v>
      </c>
      <c r="F58" s="37"/>
      <c r="G58" s="37">
        <v>28.593800000000002</v>
      </c>
      <c r="H58" s="37">
        <v>0.42087999999999998</v>
      </c>
      <c r="I58" s="37"/>
      <c r="O58">
        <v>700.5</v>
      </c>
      <c r="P58">
        <v>515.72222222222217</v>
      </c>
      <c r="Q58">
        <v>16.479598311058059</v>
      </c>
      <c r="AB58">
        <v>16.333333333333332</v>
      </c>
      <c r="AC58">
        <v>0.66666666666666663</v>
      </c>
    </row>
    <row r="59" spans="1:30" x14ac:dyDescent="0.2">
      <c r="C59">
        <v>26.5</v>
      </c>
      <c r="F59" s="37"/>
      <c r="G59" s="37">
        <v>28.906300000000002</v>
      </c>
      <c r="H59" s="37">
        <v>0.39237</v>
      </c>
      <c r="I59" s="37"/>
      <c r="O59">
        <v>678</v>
      </c>
      <c r="P59">
        <v>593.33333333333337</v>
      </c>
      <c r="Q59">
        <v>16.571995614510168</v>
      </c>
      <c r="AB59">
        <v>19.666666666666668</v>
      </c>
      <c r="AC59">
        <v>0.33333333333333337</v>
      </c>
    </row>
    <row r="60" spans="1:30" x14ac:dyDescent="0.2">
      <c r="C60">
        <v>26.5</v>
      </c>
      <c r="F60" s="37"/>
      <c r="G60" s="37">
        <v>28.875</v>
      </c>
      <c r="H60" s="37">
        <v>0.43242999999999998</v>
      </c>
      <c r="I60" s="37"/>
      <c r="O60">
        <v>674</v>
      </c>
      <c r="P60">
        <v>676.25925925925924</v>
      </c>
      <c r="Q60">
        <v>4.1118072611997825</v>
      </c>
      <c r="AB60">
        <v>20.333333333333332</v>
      </c>
      <c r="AC60">
        <v>0.33333333333333337</v>
      </c>
    </row>
    <row r="61" spans="1:30" x14ac:dyDescent="0.2">
      <c r="C61">
        <v>26.5</v>
      </c>
      <c r="F61" s="37"/>
      <c r="G61" s="37">
        <v>27.5</v>
      </c>
      <c r="H61" s="37">
        <v>0.61565999999999999</v>
      </c>
      <c r="I61" s="37"/>
      <c r="O61">
        <v>689.5</v>
      </c>
      <c r="P61">
        <v>650.5</v>
      </c>
      <c r="Q61">
        <v>5.6000733850377555</v>
      </c>
      <c r="AB61">
        <v>21.666666666666668</v>
      </c>
      <c r="AC61">
        <v>1.4529663145135581</v>
      </c>
    </row>
    <row r="62" spans="1:30" x14ac:dyDescent="0.2">
      <c r="C62">
        <v>25</v>
      </c>
      <c r="F62" s="37"/>
      <c r="G62" s="37">
        <v>28.593800000000002</v>
      </c>
      <c r="H62" s="37">
        <v>0.46198</v>
      </c>
      <c r="I62" s="37"/>
      <c r="O62">
        <v>692</v>
      </c>
      <c r="AB62">
        <v>23</v>
      </c>
      <c r="AC62">
        <v>1</v>
      </c>
    </row>
    <row r="63" spans="1:30" x14ac:dyDescent="0.2">
      <c r="C63">
        <v>25.5</v>
      </c>
      <c r="F63" s="37"/>
      <c r="G63" s="37">
        <v>28.8125</v>
      </c>
      <c r="H63" s="37">
        <v>0.55256000000000005</v>
      </c>
      <c r="I63" s="37"/>
      <c r="O63">
        <v>698</v>
      </c>
      <c r="AB63">
        <v>23.666666666666668</v>
      </c>
      <c r="AC63">
        <v>1.2018504251546633</v>
      </c>
    </row>
    <row r="64" spans="1:30" x14ac:dyDescent="0.2">
      <c r="C64">
        <v>25.5</v>
      </c>
      <c r="F64" s="37"/>
      <c r="G64" s="37">
        <v>28.093800000000002</v>
      </c>
      <c r="H64" s="37">
        <v>0.69323000000000001</v>
      </c>
      <c r="I64" s="37"/>
      <c r="O64">
        <v>644</v>
      </c>
      <c r="AB64">
        <v>21.333333333333332</v>
      </c>
      <c r="AC64">
        <v>2.3333333333333361</v>
      </c>
    </row>
    <row r="65" spans="3:29" x14ac:dyDescent="0.2">
      <c r="C65">
        <v>24</v>
      </c>
      <c r="F65" s="37"/>
      <c r="G65" s="37">
        <v>28.5625</v>
      </c>
      <c r="H65" s="37">
        <v>0.44886999999999999</v>
      </c>
      <c r="I65" s="37"/>
      <c r="O65">
        <v>667.5</v>
      </c>
      <c r="AB65">
        <v>21</v>
      </c>
      <c r="AC65">
        <v>1</v>
      </c>
    </row>
    <row r="66" spans="3:29" x14ac:dyDescent="0.2">
      <c r="C66">
        <v>26</v>
      </c>
      <c r="F66" s="37"/>
      <c r="G66" s="37">
        <v>27.531300000000002</v>
      </c>
      <c r="H66" s="37">
        <v>0.65683000000000002</v>
      </c>
      <c r="I66" s="37"/>
      <c r="O66">
        <v>668.5</v>
      </c>
      <c r="AB66">
        <v>19.333333333333332</v>
      </c>
      <c r="AC66">
        <v>2.1858128414340032</v>
      </c>
    </row>
    <row r="67" spans="3:29" x14ac:dyDescent="0.2">
      <c r="C67">
        <v>24.5</v>
      </c>
      <c r="F67" s="37"/>
      <c r="G67" s="37">
        <v>27.25</v>
      </c>
      <c r="H67" s="37">
        <v>0.86485999999999996</v>
      </c>
      <c r="I67" s="37"/>
      <c r="O67">
        <v>687</v>
      </c>
      <c r="AB67">
        <v>21.333333333333332</v>
      </c>
      <c r="AC67">
        <v>0.66666666666666663</v>
      </c>
    </row>
    <row r="68" spans="3:29" x14ac:dyDescent="0.2">
      <c r="C68">
        <v>23.5</v>
      </c>
      <c r="F68" s="37"/>
      <c r="G68" s="37">
        <v>27.531300000000002</v>
      </c>
      <c r="H68" s="37">
        <v>0.69267999999999996</v>
      </c>
      <c r="I68" s="37"/>
      <c r="O68">
        <v>706.5</v>
      </c>
      <c r="AB68">
        <v>20</v>
      </c>
      <c r="AC68">
        <v>1.5275252316519468</v>
      </c>
    </row>
    <row r="69" spans="3:29" x14ac:dyDescent="0.2">
      <c r="C69">
        <v>24</v>
      </c>
      <c r="F69" s="37"/>
      <c r="G69" s="37">
        <v>27.906300000000002</v>
      </c>
      <c r="H69" s="37">
        <v>0.68001</v>
      </c>
      <c r="I69" s="37"/>
      <c r="O69">
        <v>698</v>
      </c>
      <c r="AB69">
        <v>19.666666666666668</v>
      </c>
      <c r="AC69">
        <v>0.88191710368819687</v>
      </c>
    </row>
    <row r="70" spans="3:29" x14ac:dyDescent="0.2">
      <c r="C70">
        <v>25</v>
      </c>
      <c r="F70" s="37"/>
      <c r="G70" s="37">
        <v>27.875</v>
      </c>
      <c r="H70" s="37">
        <v>0.61360999999999999</v>
      </c>
      <c r="I70" s="37"/>
      <c r="O70">
        <v>695</v>
      </c>
      <c r="AB70">
        <v>17</v>
      </c>
      <c r="AC70">
        <v>0.57735026918962584</v>
      </c>
    </row>
    <row r="71" spans="3:29" x14ac:dyDescent="0.2">
      <c r="C71">
        <v>24</v>
      </c>
      <c r="F71" s="37"/>
      <c r="G71" s="37">
        <v>27.6875</v>
      </c>
      <c r="H71" s="37">
        <v>1.0938000000000001</v>
      </c>
      <c r="I71" s="37"/>
      <c r="O71">
        <v>659.5</v>
      </c>
      <c r="AB71">
        <v>13</v>
      </c>
      <c r="AC71">
        <v>0.57735026918962584</v>
      </c>
    </row>
    <row r="72" spans="3:29" x14ac:dyDescent="0.2">
      <c r="C72">
        <v>23.5</v>
      </c>
      <c r="F72" s="37"/>
      <c r="G72" s="37">
        <v>25.343800000000002</v>
      </c>
      <c r="H72" s="37">
        <v>1.0911999999999999</v>
      </c>
      <c r="I72" s="37"/>
      <c r="O72">
        <v>677</v>
      </c>
      <c r="AB72">
        <v>9</v>
      </c>
      <c r="AC72">
        <v>0.57735026918962584</v>
      </c>
    </row>
    <row r="73" spans="3:29" x14ac:dyDescent="0.2">
      <c r="C73">
        <v>23.5</v>
      </c>
      <c r="F73" s="37"/>
      <c r="G73" s="37">
        <v>19.6875</v>
      </c>
      <c r="H73" s="37">
        <v>1.8754</v>
      </c>
      <c r="I73" s="37"/>
      <c r="O73">
        <v>694.5</v>
      </c>
      <c r="AB73">
        <v>3.6666666666666665</v>
      </c>
      <c r="AC73">
        <v>0.66666666666666641</v>
      </c>
    </row>
    <row r="74" spans="3:29" x14ac:dyDescent="0.2">
      <c r="C74">
        <v>24.5</v>
      </c>
      <c r="F74" s="37"/>
      <c r="G74" s="37">
        <v>13.8438</v>
      </c>
      <c r="H74" s="37">
        <v>1.9495</v>
      </c>
      <c r="I74" s="37"/>
      <c r="O74">
        <v>663.5</v>
      </c>
      <c r="AB74">
        <v>1.6666666666666667</v>
      </c>
      <c r="AC74">
        <v>0.66666666666666663</v>
      </c>
    </row>
    <row r="75" spans="3:29" x14ac:dyDescent="0.2">
      <c r="C75">
        <v>25</v>
      </c>
      <c r="F75" s="37"/>
      <c r="G75" s="37">
        <v>5.6562999999999999</v>
      </c>
      <c r="H75" s="37">
        <v>1.9668000000000001</v>
      </c>
      <c r="I75" s="37"/>
      <c r="O75">
        <v>669</v>
      </c>
      <c r="AB75">
        <v>1</v>
      </c>
      <c r="AC75">
        <v>0</v>
      </c>
    </row>
    <row r="76" spans="3:29" x14ac:dyDescent="0.2">
      <c r="C76">
        <v>23</v>
      </c>
      <c r="F76" s="37"/>
      <c r="G76" s="37">
        <v>9.875</v>
      </c>
      <c r="H76" s="37">
        <v>2.4232999999999998</v>
      </c>
      <c r="I76" s="37"/>
      <c r="O76">
        <v>678.5</v>
      </c>
      <c r="AB76">
        <v>5.333333333333333</v>
      </c>
      <c r="AC76">
        <v>0.33333333333333337</v>
      </c>
    </row>
    <row r="77" spans="3:29" x14ac:dyDescent="0.2">
      <c r="C77">
        <v>22</v>
      </c>
      <c r="F77" s="37"/>
      <c r="G77" s="37">
        <v>13.1875</v>
      </c>
      <c r="H77" s="37">
        <v>2.3685</v>
      </c>
      <c r="I77" s="37"/>
      <c r="O77">
        <v>676</v>
      </c>
      <c r="AB77">
        <v>10.333333333333334</v>
      </c>
      <c r="AC77">
        <v>0.66666666666666674</v>
      </c>
    </row>
    <row r="78" spans="3:29" x14ac:dyDescent="0.2">
      <c r="C78">
        <v>21.5</v>
      </c>
      <c r="F78" s="37"/>
      <c r="G78" s="37">
        <v>23.5</v>
      </c>
      <c r="H78" s="37">
        <v>1.7971999999999999</v>
      </c>
      <c r="I78" s="37"/>
      <c r="O78">
        <v>672</v>
      </c>
      <c r="AB78">
        <v>18</v>
      </c>
      <c r="AC78">
        <v>1</v>
      </c>
    </row>
    <row r="79" spans="3:29" x14ac:dyDescent="0.2">
      <c r="C79">
        <v>25</v>
      </c>
      <c r="F79" s="37"/>
      <c r="G79" s="37">
        <v>29.4375</v>
      </c>
      <c r="H79" s="37">
        <v>0.44207999999999997</v>
      </c>
      <c r="I79" s="37"/>
      <c r="O79">
        <v>663</v>
      </c>
      <c r="AB79">
        <v>25</v>
      </c>
      <c r="AC79">
        <v>1.1547005383792517</v>
      </c>
    </row>
    <row r="80" spans="3:29" x14ac:dyDescent="0.2">
      <c r="C80">
        <v>22.5</v>
      </c>
      <c r="F80" s="37"/>
      <c r="G80" s="37">
        <v>29.875</v>
      </c>
      <c r="H80" s="37">
        <v>7.4459999999999998E-2</v>
      </c>
      <c r="I80" s="37"/>
      <c r="O80">
        <v>667.5</v>
      </c>
      <c r="AB80">
        <v>25.666666666666668</v>
      </c>
      <c r="AC80">
        <v>0.88191710368819687</v>
      </c>
    </row>
    <row r="81" spans="3:29" x14ac:dyDescent="0.2">
      <c r="C81">
        <v>24</v>
      </c>
      <c r="F81" s="37"/>
      <c r="G81" s="37">
        <v>29.6875</v>
      </c>
      <c r="H81" s="37">
        <v>0.17061000000000001</v>
      </c>
      <c r="I81" s="37"/>
      <c r="O81">
        <v>676.5</v>
      </c>
      <c r="AB81">
        <v>26.333333333333332</v>
      </c>
      <c r="AC81">
        <v>0.33333333333333337</v>
      </c>
    </row>
    <row r="82" spans="3:29" x14ac:dyDescent="0.2">
      <c r="C82">
        <v>24.5</v>
      </c>
      <c r="F82" s="37"/>
      <c r="G82" s="37">
        <v>29.093800000000002</v>
      </c>
      <c r="H82" s="37">
        <v>0.54320999999999997</v>
      </c>
      <c r="I82" s="37"/>
      <c r="O82">
        <v>692.5</v>
      </c>
      <c r="AB82">
        <v>27.333333333333332</v>
      </c>
      <c r="AC82">
        <v>0.33333333333333337</v>
      </c>
    </row>
    <row r="83" spans="3:29" x14ac:dyDescent="0.2">
      <c r="C83">
        <v>25</v>
      </c>
      <c r="F83" s="37"/>
      <c r="G83" s="37">
        <v>29.218800000000002</v>
      </c>
      <c r="H83" s="37">
        <v>0.40344999999999998</v>
      </c>
      <c r="I83" s="37"/>
      <c r="AB83">
        <v>26</v>
      </c>
      <c r="AC83">
        <v>0</v>
      </c>
    </row>
    <row r="84" spans="3:29" x14ac:dyDescent="0.2">
      <c r="C84">
        <v>25.5</v>
      </c>
      <c r="F84" s="37"/>
      <c r="G84" s="37">
        <v>29.0625</v>
      </c>
      <c r="H84" s="37">
        <v>0.48554999999999998</v>
      </c>
      <c r="I84" s="37"/>
      <c r="M84" t="s">
        <v>369</v>
      </c>
      <c r="N84" t="s">
        <v>374</v>
      </c>
      <c r="O84">
        <v>673.5</v>
      </c>
      <c r="P84">
        <f>AVERAGE(O84:O109)</f>
        <v>648.88461538461536</v>
      </c>
      <c r="Q84">
        <f>STDEV(O84:O109)/SQRT(COUNT(O9:O84))</f>
        <v>5.482907630088647</v>
      </c>
      <c r="AB84">
        <v>25.666666666666668</v>
      </c>
      <c r="AC84">
        <v>0.66666666666666663</v>
      </c>
    </row>
    <row r="85" spans="3:29" x14ac:dyDescent="0.2">
      <c r="C85">
        <v>25</v>
      </c>
      <c r="F85" s="37"/>
      <c r="G85" s="37">
        <v>29.4375</v>
      </c>
      <c r="H85" s="37">
        <v>0.35621999999999998</v>
      </c>
      <c r="I85" s="37"/>
      <c r="O85">
        <v>594</v>
      </c>
      <c r="P85">
        <v>515.72222222222217</v>
      </c>
      <c r="Q85">
        <v>16.479598311058059</v>
      </c>
      <c r="AB85">
        <v>27.333333333333332</v>
      </c>
      <c r="AC85">
        <v>0.33333333333333337</v>
      </c>
    </row>
    <row r="86" spans="3:29" x14ac:dyDescent="0.2">
      <c r="C86">
        <v>25</v>
      </c>
      <c r="F86" s="37"/>
      <c r="G86" s="37">
        <v>29.531300000000002</v>
      </c>
      <c r="H86" s="37">
        <v>0.25788</v>
      </c>
      <c r="I86" s="37"/>
      <c r="O86">
        <v>696</v>
      </c>
      <c r="P86">
        <v>593.33333333333337</v>
      </c>
      <c r="Q86">
        <v>16.571995614510168</v>
      </c>
      <c r="AB86">
        <v>25.333333333333332</v>
      </c>
      <c r="AC86">
        <v>1.2018504251546633</v>
      </c>
    </row>
    <row r="87" spans="3:29" x14ac:dyDescent="0.2">
      <c r="C87">
        <v>26</v>
      </c>
      <c r="F87" s="37"/>
      <c r="G87" s="37">
        <v>29.4375</v>
      </c>
      <c r="H87" s="37">
        <v>0.26157999999999998</v>
      </c>
      <c r="I87" s="37"/>
      <c r="O87">
        <v>576.5</v>
      </c>
      <c r="P87">
        <v>676.25925925925924</v>
      </c>
      <c r="Q87">
        <v>4.1118072611997825</v>
      </c>
      <c r="AB87">
        <v>24.666666666666668</v>
      </c>
      <c r="AC87">
        <v>1.3333333333333335</v>
      </c>
    </row>
    <row r="88" spans="3:29" x14ac:dyDescent="0.2">
      <c r="C88">
        <v>25</v>
      </c>
      <c r="F88" s="37"/>
      <c r="G88" s="37">
        <v>28.9375</v>
      </c>
      <c r="H88" s="37">
        <v>0.48137999999999997</v>
      </c>
      <c r="I88" s="37"/>
      <c r="O88">
        <v>519.5</v>
      </c>
      <c r="P88">
        <v>650.5</v>
      </c>
      <c r="Q88">
        <v>5.6000733850377555</v>
      </c>
      <c r="AB88">
        <v>25.333333333333332</v>
      </c>
      <c r="AC88">
        <v>0.66666666666666663</v>
      </c>
    </row>
    <row r="89" spans="3:29" x14ac:dyDescent="0.2">
      <c r="C89">
        <v>25.5</v>
      </c>
      <c r="F89" s="37"/>
      <c r="G89" s="37">
        <v>29.5</v>
      </c>
      <c r="H89" s="37">
        <v>0.25794</v>
      </c>
      <c r="I89" s="37"/>
      <c r="O89">
        <v>639.5</v>
      </c>
      <c r="AB89">
        <v>24</v>
      </c>
      <c r="AC89">
        <v>0.57735026918962584</v>
      </c>
    </row>
    <row r="90" spans="3:29" x14ac:dyDescent="0.2">
      <c r="C90">
        <v>26.5</v>
      </c>
      <c r="F90" s="37"/>
      <c r="G90" s="37">
        <v>29.156300000000002</v>
      </c>
      <c r="H90" s="37">
        <v>0.45594000000000001</v>
      </c>
      <c r="I90" s="37"/>
      <c r="O90">
        <v>690</v>
      </c>
      <c r="AB90">
        <v>25.333333333333332</v>
      </c>
      <c r="AC90">
        <v>0.66666666666666663</v>
      </c>
    </row>
    <row r="91" spans="3:29" x14ac:dyDescent="0.2">
      <c r="C91">
        <v>27</v>
      </c>
      <c r="F91" s="37"/>
      <c r="G91" s="37">
        <v>29.531300000000002</v>
      </c>
      <c r="H91" s="37">
        <v>0.32684000000000002</v>
      </c>
      <c r="I91" s="37"/>
      <c r="O91">
        <v>654</v>
      </c>
      <c r="AB91">
        <v>23.666666666666668</v>
      </c>
      <c r="AC91">
        <v>0.66666666666666663</v>
      </c>
    </row>
    <row r="92" spans="3:29" x14ac:dyDescent="0.2">
      <c r="C92">
        <v>25</v>
      </c>
      <c r="F92" s="37"/>
      <c r="G92" s="37">
        <v>26.906300000000002</v>
      </c>
      <c r="H92" s="37">
        <v>1.0310999999999999</v>
      </c>
      <c r="I92" s="37"/>
      <c r="O92">
        <v>635</v>
      </c>
      <c r="AB92">
        <v>22.666666666666668</v>
      </c>
      <c r="AC92">
        <v>1.7638342073763975</v>
      </c>
    </row>
    <row r="93" spans="3:29" x14ac:dyDescent="0.2">
      <c r="C93">
        <v>25</v>
      </c>
      <c r="F93" s="37"/>
      <c r="G93" s="37">
        <v>26.468800000000002</v>
      </c>
      <c r="H93" s="37">
        <v>1.0831999999999999</v>
      </c>
      <c r="I93" s="37"/>
      <c r="O93">
        <v>680</v>
      </c>
      <c r="AB93">
        <v>22.333333333333332</v>
      </c>
      <c r="AC93">
        <v>0.88191710368819687</v>
      </c>
    </row>
    <row r="94" spans="3:29" x14ac:dyDescent="0.2">
      <c r="C94">
        <v>26</v>
      </c>
      <c r="F94" s="37"/>
      <c r="G94" s="37">
        <v>28.968800000000002</v>
      </c>
      <c r="H94" s="37">
        <v>0.50895999999999997</v>
      </c>
      <c r="I94" s="37"/>
      <c r="O94">
        <v>671</v>
      </c>
      <c r="AB94">
        <v>21.666666666666668</v>
      </c>
      <c r="AC94">
        <v>1.8559214542766775</v>
      </c>
    </row>
    <row r="95" spans="3:29" x14ac:dyDescent="0.2">
      <c r="C95">
        <v>26</v>
      </c>
      <c r="F95" s="37"/>
      <c r="G95" s="37">
        <v>25.218800000000002</v>
      </c>
      <c r="H95" s="37">
        <v>1.3602000000000001</v>
      </c>
      <c r="I95" s="37"/>
      <c r="O95">
        <v>694.5</v>
      </c>
      <c r="AB95">
        <v>22.666666666666668</v>
      </c>
      <c r="AC95">
        <v>0.66666666666666663</v>
      </c>
    </row>
    <row r="96" spans="3:29" x14ac:dyDescent="0.2">
      <c r="C96">
        <v>25.5</v>
      </c>
      <c r="F96" s="37"/>
      <c r="G96" s="37">
        <v>24.875</v>
      </c>
      <c r="H96" s="37">
        <v>1.3662000000000001</v>
      </c>
      <c r="I96" s="37"/>
      <c r="O96">
        <v>609</v>
      </c>
      <c r="AB96">
        <v>13.666666666666666</v>
      </c>
      <c r="AC96">
        <v>2.3333333333333321</v>
      </c>
    </row>
    <row r="97" spans="1:30" x14ac:dyDescent="0.2">
      <c r="C97">
        <v>26.5</v>
      </c>
      <c r="F97" s="37"/>
      <c r="G97" s="37">
        <v>23.406300000000002</v>
      </c>
      <c r="H97" s="37">
        <v>1.7126999999999999</v>
      </c>
      <c r="I97" s="37"/>
      <c r="O97">
        <v>647</v>
      </c>
      <c r="AB97">
        <v>11.666666666666666</v>
      </c>
      <c r="AC97">
        <v>1.452966314513559</v>
      </c>
    </row>
    <row r="98" spans="1:30" x14ac:dyDescent="0.2">
      <c r="C98">
        <v>25</v>
      </c>
      <c r="F98" s="37"/>
      <c r="G98" s="37">
        <v>19.843800000000002</v>
      </c>
      <c r="H98" s="37">
        <v>1.5081</v>
      </c>
      <c r="I98" s="37"/>
      <c r="O98">
        <v>604</v>
      </c>
      <c r="AB98">
        <v>12.666666666666666</v>
      </c>
      <c r="AC98">
        <v>0.33333333333333331</v>
      </c>
    </row>
    <row r="99" spans="1:30" x14ac:dyDescent="0.2">
      <c r="C99">
        <v>25.5</v>
      </c>
      <c r="F99" s="37"/>
      <c r="G99" s="37">
        <v>14.4063</v>
      </c>
      <c r="H99" s="37">
        <v>2.0988000000000002</v>
      </c>
      <c r="I99" s="37"/>
      <c r="O99">
        <v>691</v>
      </c>
      <c r="AB99">
        <v>5.666666666666667</v>
      </c>
      <c r="AC99">
        <v>1.2018504251546636</v>
      </c>
    </row>
    <row r="100" spans="1:30" x14ac:dyDescent="0.2">
      <c r="F100" s="37"/>
      <c r="G100" s="37"/>
      <c r="H100" s="37"/>
      <c r="I100" s="37"/>
      <c r="O100">
        <v>612.5</v>
      </c>
    </row>
    <row r="101" spans="1:30" x14ac:dyDescent="0.2">
      <c r="A101" t="s">
        <v>364</v>
      </c>
      <c r="B101" t="s">
        <v>367</v>
      </c>
      <c r="C101">
        <v>25</v>
      </c>
      <c r="F101" s="37" t="s">
        <v>49</v>
      </c>
      <c r="G101" s="37">
        <v>23.75</v>
      </c>
      <c r="H101" s="37">
        <v>1.2098</v>
      </c>
      <c r="I101" s="37">
        <v>48</v>
      </c>
      <c r="O101">
        <v>604.5</v>
      </c>
      <c r="AA101" t="s">
        <v>49</v>
      </c>
      <c r="AB101">
        <v>0.66666666666666663</v>
      </c>
      <c r="AC101">
        <v>0.66666666666666674</v>
      </c>
      <c r="AD101">
        <v>48</v>
      </c>
    </row>
    <row r="102" spans="1:30" x14ac:dyDescent="0.2">
      <c r="C102">
        <v>25.5</v>
      </c>
      <c r="F102" s="37"/>
      <c r="G102" s="37">
        <v>24.156300000000002</v>
      </c>
      <c r="H102" s="37">
        <v>1.1718</v>
      </c>
      <c r="I102" s="37"/>
      <c r="O102">
        <v>661.5</v>
      </c>
      <c r="AB102">
        <v>1</v>
      </c>
      <c r="AC102">
        <v>0.57735026918962584</v>
      </c>
    </row>
    <row r="103" spans="1:30" x14ac:dyDescent="0.2">
      <c r="C103">
        <v>26.5</v>
      </c>
      <c r="F103" s="37"/>
      <c r="G103" s="37">
        <v>26.531300000000002</v>
      </c>
      <c r="H103" s="37">
        <v>0.86717</v>
      </c>
      <c r="I103" s="37"/>
      <c r="O103">
        <v>684.5</v>
      </c>
      <c r="AB103">
        <v>1</v>
      </c>
      <c r="AC103">
        <v>0.57735026918962584</v>
      </c>
    </row>
    <row r="104" spans="1:30" x14ac:dyDescent="0.2">
      <c r="C104">
        <v>26.5</v>
      </c>
      <c r="F104" s="37"/>
      <c r="G104" s="37">
        <v>26.343800000000002</v>
      </c>
      <c r="H104" s="37">
        <v>0.87253000000000003</v>
      </c>
      <c r="I104" s="37"/>
      <c r="O104">
        <v>692</v>
      </c>
      <c r="AB104">
        <v>2.3333333333333335</v>
      </c>
      <c r="AC104">
        <v>0.33333333333333365</v>
      </c>
    </row>
    <row r="105" spans="1:30" x14ac:dyDescent="0.2">
      <c r="C105">
        <v>26.5</v>
      </c>
      <c r="F105" s="37"/>
      <c r="G105" s="37">
        <v>25.375</v>
      </c>
      <c r="H105" s="37">
        <v>1.1715</v>
      </c>
      <c r="I105" s="37"/>
      <c r="O105">
        <v>595</v>
      </c>
      <c r="AB105">
        <v>5.666666666666667</v>
      </c>
      <c r="AC105">
        <v>0.33333333333333337</v>
      </c>
    </row>
    <row r="106" spans="1:30" x14ac:dyDescent="0.2">
      <c r="C106">
        <v>26.5</v>
      </c>
      <c r="F106" s="37"/>
      <c r="G106" s="37">
        <v>26.75</v>
      </c>
      <c r="H106" s="37">
        <v>0.66751000000000005</v>
      </c>
      <c r="I106" s="37"/>
      <c r="O106">
        <v>663.5</v>
      </c>
      <c r="AB106">
        <v>10.333333333333334</v>
      </c>
      <c r="AC106">
        <v>0.66666666666666674</v>
      </c>
    </row>
    <row r="107" spans="1:30" x14ac:dyDescent="0.2">
      <c r="C107">
        <v>27.5</v>
      </c>
      <c r="F107" s="37"/>
      <c r="G107" s="37">
        <v>28.406300000000002</v>
      </c>
      <c r="H107" s="37">
        <v>0.44418000000000002</v>
      </c>
      <c r="I107" s="37"/>
      <c r="O107">
        <v>695.5</v>
      </c>
      <c r="AB107">
        <v>12</v>
      </c>
      <c r="AC107">
        <v>0</v>
      </c>
    </row>
    <row r="108" spans="1:30" x14ac:dyDescent="0.2">
      <c r="C108">
        <v>27</v>
      </c>
      <c r="F108" s="37"/>
      <c r="G108" s="37">
        <v>27.5625</v>
      </c>
      <c r="H108" s="37">
        <v>0.54242999999999997</v>
      </c>
      <c r="I108" s="37"/>
      <c r="O108">
        <v>683</v>
      </c>
      <c r="AB108">
        <v>16</v>
      </c>
      <c r="AC108">
        <v>1.1547005383792517</v>
      </c>
    </row>
    <row r="109" spans="1:30" x14ac:dyDescent="0.2">
      <c r="C109">
        <v>27.5</v>
      </c>
      <c r="F109" s="37"/>
      <c r="G109" s="37">
        <v>27.125</v>
      </c>
      <c r="H109" s="37">
        <v>0.71526000000000001</v>
      </c>
      <c r="I109" s="37"/>
      <c r="O109">
        <v>704.5</v>
      </c>
      <c r="AB109">
        <v>17</v>
      </c>
      <c r="AC109">
        <v>0.57735026918962584</v>
      </c>
    </row>
    <row r="110" spans="1:30" x14ac:dyDescent="0.2">
      <c r="C110">
        <v>28</v>
      </c>
      <c r="F110" s="37"/>
      <c r="G110" s="37">
        <v>26.906300000000002</v>
      </c>
      <c r="H110" s="37">
        <v>1.0154000000000001</v>
      </c>
      <c r="I110" s="37"/>
      <c r="AB110">
        <v>23</v>
      </c>
      <c r="AC110">
        <v>1.5275252316519468</v>
      </c>
    </row>
    <row r="111" spans="1:30" x14ac:dyDescent="0.2">
      <c r="C111">
        <v>27.5</v>
      </c>
      <c r="F111" s="37"/>
      <c r="G111" s="37">
        <v>27.375</v>
      </c>
      <c r="H111" s="37">
        <v>0.83611999999999997</v>
      </c>
      <c r="I111" s="37"/>
      <c r="M111" t="s">
        <v>369</v>
      </c>
      <c r="N111" t="s">
        <v>375</v>
      </c>
      <c r="O111">
        <v>539.5</v>
      </c>
      <c r="P111">
        <f>AVERAGE(O111:O137)</f>
        <v>515.72222222222217</v>
      </c>
      <c r="Q111">
        <f>STDEV(O111:O137)/SQRT(COUNT(O111:O137))</f>
        <v>16.479598311058059</v>
      </c>
      <c r="AB111">
        <v>23.333333333333332</v>
      </c>
      <c r="AC111">
        <v>1.2018504251546633</v>
      </c>
    </row>
    <row r="112" spans="1:30" x14ac:dyDescent="0.2">
      <c r="C112">
        <v>28</v>
      </c>
      <c r="F112" s="37"/>
      <c r="G112" s="37">
        <v>26.5</v>
      </c>
      <c r="H112" s="37">
        <v>0.87529000000000001</v>
      </c>
      <c r="I112" s="37"/>
      <c r="O112">
        <v>555</v>
      </c>
      <c r="P112">
        <v>593.33333333333337</v>
      </c>
      <c r="Q112">
        <v>16.571995614510168</v>
      </c>
      <c r="AB112">
        <v>23.666666666666668</v>
      </c>
      <c r="AC112">
        <v>0.88191710368819687</v>
      </c>
    </row>
    <row r="113" spans="3:29" x14ac:dyDescent="0.2">
      <c r="C113">
        <v>28</v>
      </c>
      <c r="F113" s="37"/>
      <c r="G113" s="37">
        <v>27.5</v>
      </c>
      <c r="H113" s="37">
        <v>0.82916000000000001</v>
      </c>
      <c r="I113" s="37"/>
      <c r="O113">
        <v>355.5</v>
      </c>
      <c r="P113">
        <v>676.25925925925924</v>
      </c>
      <c r="Q113">
        <v>4.1118072611997825</v>
      </c>
      <c r="AB113">
        <v>21.333333333333332</v>
      </c>
      <c r="AC113">
        <v>2.7284509239574857</v>
      </c>
    </row>
    <row r="114" spans="3:29" x14ac:dyDescent="0.2">
      <c r="C114">
        <v>28</v>
      </c>
      <c r="F114" s="37"/>
      <c r="G114" s="37">
        <v>27.6875</v>
      </c>
      <c r="H114" s="37">
        <v>0.56874000000000002</v>
      </c>
      <c r="I114" s="37"/>
      <c r="O114">
        <v>514</v>
      </c>
      <c r="P114">
        <v>650.5</v>
      </c>
      <c r="Q114">
        <v>5.6000733850377555</v>
      </c>
      <c r="AB114">
        <v>23.666666666666668</v>
      </c>
      <c r="AC114">
        <v>1.8559214542766775</v>
      </c>
    </row>
    <row r="115" spans="3:29" x14ac:dyDescent="0.2">
      <c r="C115">
        <v>27.5</v>
      </c>
      <c r="F115" s="37"/>
      <c r="G115" s="37">
        <v>27.031300000000002</v>
      </c>
      <c r="H115" s="37">
        <v>0.79627000000000003</v>
      </c>
      <c r="I115" s="37"/>
      <c r="O115">
        <v>571</v>
      </c>
      <c r="AB115">
        <v>20.666666666666668</v>
      </c>
      <c r="AC115">
        <v>3.7564758898615498</v>
      </c>
    </row>
    <row r="116" spans="3:29" x14ac:dyDescent="0.2">
      <c r="C116">
        <v>27.5</v>
      </c>
      <c r="F116" s="37"/>
      <c r="G116" s="37">
        <v>26.343800000000002</v>
      </c>
      <c r="H116" s="37">
        <v>1.1471</v>
      </c>
      <c r="I116" s="37"/>
      <c r="O116">
        <v>591.5</v>
      </c>
      <c r="AB116">
        <v>23.666666666666668</v>
      </c>
      <c r="AC116">
        <v>0.88191710368819687</v>
      </c>
    </row>
    <row r="117" spans="3:29" x14ac:dyDescent="0.2">
      <c r="C117">
        <v>27.5</v>
      </c>
      <c r="F117" s="37"/>
      <c r="G117" s="37">
        <v>26.656300000000002</v>
      </c>
      <c r="H117" s="37">
        <v>0.84553999999999996</v>
      </c>
      <c r="I117" s="37"/>
      <c r="O117">
        <v>400.5</v>
      </c>
      <c r="AB117">
        <v>19.666666666666668</v>
      </c>
      <c r="AC117">
        <v>0.33333333333333337</v>
      </c>
    </row>
    <row r="118" spans="3:29" x14ac:dyDescent="0.2">
      <c r="C118">
        <v>28</v>
      </c>
      <c r="F118" s="37"/>
      <c r="G118" s="37">
        <v>24.75</v>
      </c>
      <c r="H118" s="37">
        <v>1.1197999999999999</v>
      </c>
      <c r="I118" s="37"/>
      <c r="O118">
        <v>560</v>
      </c>
      <c r="AB118">
        <v>16.333333333333332</v>
      </c>
      <c r="AC118">
        <v>1.4529663145135558</v>
      </c>
    </row>
    <row r="119" spans="3:29" x14ac:dyDescent="0.2">
      <c r="C119">
        <v>27.5</v>
      </c>
      <c r="F119" s="37"/>
      <c r="G119" s="37">
        <v>23.75</v>
      </c>
      <c r="H119" s="37">
        <v>1.2881</v>
      </c>
      <c r="I119" s="37"/>
      <c r="O119">
        <v>589.5</v>
      </c>
      <c r="AB119">
        <v>12</v>
      </c>
      <c r="AC119">
        <v>1</v>
      </c>
    </row>
    <row r="120" spans="3:29" x14ac:dyDescent="0.2">
      <c r="C120">
        <v>27</v>
      </c>
      <c r="F120" s="37"/>
      <c r="G120" s="37">
        <v>25.875</v>
      </c>
      <c r="H120" s="37">
        <v>0.89097999999999999</v>
      </c>
      <c r="I120" s="37"/>
      <c r="O120">
        <v>491</v>
      </c>
      <c r="AB120">
        <v>7</v>
      </c>
      <c r="AC120">
        <v>1.5275252316519468</v>
      </c>
    </row>
    <row r="121" spans="3:29" x14ac:dyDescent="0.2">
      <c r="C121">
        <v>27</v>
      </c>
      <c r="F121" s="37"/>
      <c r="G121" s="37">
        <v>24.5625</v>
      </c>
      <c r="H121" s="37">
        <v>1.2524</v>
      </c>
      <c r="I121" s="37"/>
      <c r="O121">
        <v>477</v>
      </c>
      <c r="AB121">
        <v>3.3333333333333335</v>
      </c>
      <c r="AC121">
        <v>1.3333333333333333</v>
      </c>
    </row>
    <row r="122" spans="3:29" x14ac:dyDescent="0.2">
      <c r="C122">
        <v>27.5</v>
      </c>
      <c r="F122" s="37"/>
      <c r="G122" s="37">
        <v>22.1875</v>
      </c>
      <c r="H122" s="37">
        <v>1.6536999999999999</v>
      </c>
      <c r="I122" s="37"/>
      <c r="O122">
        <v>501.5</v>
      </c>
      <c r="AB122">
        <v>1.6666666666666667</v>
      </c>
      <c r="AC122">
        <v>0.88191710368819687</v>
      </c>
    </row>
    <row r="123" spans="3:29" x14ac:dyDescent="0.2">
      <c r="C123">
        <v>26</v>
      </c>
      <c r="F123" s="37"/>
      <c r="G123" s="37">
        <v>15.6875</v>
      </c>
      <c r="H123" s="37">
        <v>2.0352000000000001</v>
      </c>
      <c r="I123" s="37"/>
      <c r="O123">
        <v>634.5</v>
      </c>
      <c r="AB123">
        <v>0.66666666666666663</v>
      </c>
      <c r="AC123">
        <v>0.66666666666666674</v>
      </c>
    </row>
    <row r="124" spans="3:29" x14ac:dyDescent="0.2">
      <c r="C124">
        <v>26</v>
      </c>
      <c r="F124" s="37"/>
      <c r="G124" s="37">
        <v>19.218800000000002</v>
      </c>
      <c r="H124" s="37">
        <v>2.1160000000000001</v>
      </c>
      <c r="I124" s="37"/>
      <c r="O124">
        <v>574.5</v>
      </c>
      <c r="AB124">
        <v>0.66666666666666663</v>
      </c>
      <c r="AC124">
        <v>0.66666666666666674</v>
      </c>
    </row>
    <row r="125" spans="3:29" x14ac:dyDescent="0.2">
      <c r="C125">
        <v>24.5</v>
      </c>
      <c r="F125" s="37"/>
      <c r="G125" s="37">
        <v>21.843800000000002</v>
      </c>
      <c r="H125" s="37">
        <v>1.8714</v>
      </c>
      <c r="I125" s="37"/>
      <c r="O125">
        <v>429.5</v>
      </c>
      <c r="AB125">
        <v>3.3333333333333335</v>
      </c>
      <c r="AC125">
        <v>0.88191710368819676</v>
      </c>
    </row>
    <row r="126" spans="3:29" x14ac:dyDescent="0.2">
      <c r="C126">
        <v>28</v>
      </c>
      <c r="F126" s="37"/>
      <c r="G126" s="37">
        <v>24.406300000000002</v>
      </c>
      <c r="H126" s="37">
        <v>1.3837999999999999</v>
      </c>
      <c r="I126" s="37"/>
      <c r="O126">
        <v>615.5</v>
      </c>
      <c r="AB126">
        <v>10.666666666666666</v>
      </c>
      <c r="AC126">
        <v>0.33333333333333331</v>
      </c>
    </row>
    <row r="127" spans="3:29" x14ac:dyDescent="0.2">
      <c r="C127">
        <v>28.5</v>
      </c>
      <c r="F127" s="37"/>
      <c r="G127" s="37">
        <v>25.343800000000002</v>
      </c>
      <c r="H127" s="37">
        <v>1.3157000000000001</v>
      </c>
      <c r="I127" s="37"/>
      <c r="O127">
        <v>586.5</v>
      </c>
      <c r="AB127">
        <v>16.666666666666668</v>
      </c>
      <c r="AC127">
        <v>1.2018504251546605</v>
      </c>
    </row>
    <row r="128" spans="3:29" x14ac:dyDescent="0.2">
      <c r="C128">
        <v>28</v>
      </c>
      <c r="F128" s="37"/>
      <c r="G128" s="37">
        <v>24.25</v>
      </c>
      <c r="H128" s="37">
        <v>1.2819</v>
      </c>
      <c r="I128" s="37"/>
      <c r="O128">
        <v>485</v>
      </c>
      <c r="AB128">
        <v>19.333333333333332</v>
      </c>
      <c r="AC128">
        <v>0.88191710368819687</v>
      </c>
    </row>
    <row r="129" spans="3:29" x14ac:dyDescent="0.2">
      <c r="C129">
        <v>28.5</v>
      </c>
      <c r="F129" s="37"/>
      <c r="G129" s="37">
        <v>26.625</v>
      </c>
      <c r="H129" s="37">
        <v>1.0276000000000001</v>
      </c>
      <c r="I129" s="37"/>
      <c r="O129">
        <v>305</v>
      </c>
      <c r="AB129">
        <v>22.333333333333332</v>
      </c>
      <c r="AC129">
        <v>1.4529663145135581</v>
      </c>
    </row>
    <row r="130" spans="3:29" x14ac:dyDescent="0.2">
      <c r="C130">
        <v>28.5</v>
      </c>
      <c r="F130" s="37"/>
      <c r="G130" s="37">
        <v>25.375</v>
      </c>
      <c r="H130" s="37">
        <v>0.93191000000000002</v>
      </c>
      <c r="I130" s="37"/>
      <c r="O130">
        <v>438.5</v>
      </c>
      <c r="AB130">
        <v>23.333333333333332</v>
      </c>
      <c r="AC130">
        <v>1.8559214542766775</v>
      </c>
    </row>
    <row r="131" spans="3:29" x14ac:dyDescent="0.2">
      <c r="C131">
        <v>28</v>
      </c>
      <c r="F131" s="37"/>
      <c r="G131" s="37">
        <v>25.8125</v>
      </c>
      <c r="H131" s="37">
        <v>1.1984999999999999</v>
      </c>
      <c r="I131" s="37"/>
      <c r="O131">
        <v>520.5</v>
      </c>
      <c r="AB131">
        <v>24</v>
      </c>
      <c r="AC131">
        <v>0.57735026918962584</v>
      </c>
    </row>
    <row r="132" spans="3:29" x14ac:dyDescent="0.2">
      <c r="C132">
        <v>28</v>
      </c>
      <c r="F132" s="37"/>
      <c r="G132" s="37">
        <v>25.8125</v>
      </c>
      <c r="H132" s="37">
        <v>1.3444</v>
      </c>
      <c r="I132" s="37"/>
      <c r="O132">
        <v>600</v>
      </c>
      <c r="AB132">
        <v>23.333333333333332</v>
      </c>
      <c r="AC132">
        <v>2.4037008503093289</v>
      </c>
    </row>
    <row r="133" spans="3:29" x14ac:dyDescent="0.2">
      <c r="C133">
        <v>26.5</v>
      </c>
      <c r="F133" s="38"/>
      <c r="G133" s="37">
        <v>26.625</v>
      </c>
      <c r="H133" s="37">
        <v>1.0699000000000001</v>
      </c>
      <c r="I133" s="37"/>
      <c r="O133">
        <v>525.5</v>
      </c>
      <c r="AA133" s="2"/>
      <c r="AB133">
        <v>22.666666666666668</v>
      </c>
      <c r="AC133">
        <v>1.7638342073763975</v>
      </c>
    </row>
    <row r="134" spans="3:29" x14ac:dyDescent="0.2">
      <c r="C134">
        <v>27.5</v>
      </c>
      <c r="F134" s="38"/>
      <c r="G134" s="37">
        <v>24.75</v>
      </c>
      <c r="H134" s="37">
        <v>1.4135</v>
      </c>
      <c r="I134" s="37"/>
      <c r="O134">
        <v>457.5</v>
      </c>
      <c r="AA134" s="2"/>
      <c r="AB134">
        <v>22.666666666666668</v>
      </c>
      <c r="AC134">
        <v>1.4529663145135581</v>
      </c>
    </row>
    <row r="135" spans="3:29" x14ac:dyDescent="0.2">
      <c r="C135">
        <v>28.5</v>
      </c>
      <c r="F135" s="38"/>
      <c r="G135" s="37">
        <v>25.125</v>
      </c>
      <c r="H135" s="37">
        <v>1.3895999999999999</v>
      </c>
      <c r="I135" s="37"/>
      <c r="O135">
        <v>401</v>
      </c>
      <c r="AA135" s="2"/>
      <c r="AB135">
        <v>22.666666666666668</v>
      </c>
      <c r="AC135">
        <v>1.8559214542766775</v>
      </c>
    </row>
    <row r="136" spans="3:29" x14ac:dyDescent="0.2">
      <c r="C136">
        <v>27.5</v>
      </c>
      <c r="F136" s="38"/>
      <c r="G136" s="37">
        <v>23.9375</v>
      </c>
      <c r="H136" s="37">
        <v>1.6313</v>
      </c>
      <c r="I136" s="37"/>
      <c r="O136">
        <v>580.5</v>
      </c>
      <c r="AA136" s="2"/>
      <c r="AB136">
        <v>24</v>
      </c>
      <c r="AC136">
        <v>1.1547005383792517</v>
      </c>
    </row>
    <row r="137" spans="3:29" x14ac:dyDescent="0.2">
      <c r="C137">
        <v>27.5</v>
      </c>
      <c r="F137" s="38"/>
      <c r="G137" s="37">
        <v>24.843800000000002</v>
      </c>
      <c r="H137" s="37">
        <v>1.3811</v>
      </c>
      <c r="I137" s="37"/>
      <c r="O137">
        <v>624.5</v>
      </c>
      <c r="AA137" s="2"/>
      <c r="AB137">
        <v>21</v>
      </c>
      <c r="AC137">
        <v>2.6457513110645907</v>
      </c>
    </row>
    <row r="138" spans="3:29" x14ac:dyDescent="0.2">
      <c r="C138">
        <v>26</v>
      </c>
      <c r="F138" s="38"/>
      <c r="G138" s="37">
        <v>26.593800000000002</v>
      </c>
      <c r="H138" s="37">
        <v>0.97226000000000001</v>
      </c>
      <c r="I138" s="37"/>
      <c r="AA138" s="2"/>
      <c r="AB138">
        <v>21</v>
      </c>
      <c r="AC138">
        <v>2.6457513110645907</v>
      </c>
    </row>
    <row r="139" spans="3:29" x14ac:dyDescent="0.2">
      <c r="C139">
        <v>27.5</v>
      </c>
      <c r="F139" s="38"/>
      <c r="G139" s="37">
        <v>24.968800000000002</v>
      </c>
      <c r="H139" s="37">
        <v>1.2431000000000001</v>
      </c>
      <c r="I139" s="37"/>
      <c r="M139" t="s">
        <v>369</v>
      </c>
      <c r="N139" t="s">
        <v>376</v>
      </c>
      <c r="O139">
        <v>589</v>
      </c>
      <c r="P139">
        <f>AVERAGE(O139:O162)</f>
        <v>593.33333333333337</v>
      </c>
      <c r="Q139">
        <f>STDEV(O139:O162)/SQRT(COUNT(O139:O162))</f>
        <v>16.571995614510168</v>
      </c>
      <c r="AA139" s="2"/>
      <c r="AB139">
        <v>21.666666666666668</v>
      </c>
      <c r="AC139">
        <v>0.88191710368819698</v>
      </c>
    </row>
    <row r="140" spans="3:29" x14ac:dyDescent="0.2">
      <c r="C140">
        <v>27</v>
      </c>
      <c r="F140" s="38"/>
      <c r="G140" s="37">
        <v>25.531300000000002</v>
      </c>
      <c r="H140" s="37">
        <v>1.1243000000000001</v>
      </c>
      <c r="I140" s="37"/>
      <c r="O140">
        <v>526</v>
      </c>
      <c r="P140">
        <v>676.25925925925924</v>
      </c>
      <c r="Q140">
        <v>4.1118072611997825</v>
      </c>
      <c r="AA140" s="2"/>
      <c r="AB140">
        <v>20.333333333333332</v>
      </c>
      <c r="AC140">
        <v>0.88191710368819687</v>
      </c>
    </row>
    <row r="141" spans="3:29" x14ac:dyDescent="0.2">
      <c r="C141">
        <v>26</v>
      </c>
      <c r="F141" s="37"/>
      <c r="G141" s="37">
        <v>25.5</v>
      </c>
      <c r="H141" s="37">
        <v>0.97963</v>
      </c>
      <c r="I141" s="37"/>
      <c r="O141">
        <v>630.5</v>
      </c>
      <c r="P141">
        <v>650.5</v>
      </c>
      <c r="Q141">
        <v>5.6000733850377555</v>
      </c>
      <c r="AB141">
        <v>19.666666666666668</v>
      </c>
      <c r="AC141">
        <v>2.1858128414340032</v>
      </c>
    </row>
    <row r="142" spans="3:29" x14ac:dyDescent="0.2">
      <c r="C142">
        <v>26</v>
      </c>
      <c r="F142" s="37"/>
      <c r="G142" s="37">
        <v>25.8125</v>
      </c>
      <c r="H142" s="37">
        <v>1.3444</v>
      </c>
      <c r="I142" s="37"/>
      <c r="O142">
        <v>653.5</v>
      </c>
      <c r="AB142">
        <v>16.333333333333332</v>
      </c>
      <c r="AC142">
        <v>1.2018504251546605</v>
      </c>
    </row>
    <row r="143" spans="3:29" x14ac:dyDescent="0.2">
      <c r="C143">
        <v>26</v>
      </c>
      <c r="F143" s="38"/>
      <c r="G143" s="37">
        <v>24.781300000000002</v>
      </c>
      <c r="H143" s="37">
        <v>1.0858000000000001</v>
      </c>
      <c r="I143" s="37"/>
      <c r="O143">
        <v>586</v>
      </c>
      <c r="AA143" s="2"/>
      <c r="AB143">
        <v>17</v>
      </c>
      <c r="AC143">
        <v>2</v>
      </c>
    </row>
    <row r="144" spans="3:29" x14ac:dyDescent="0.2">
      <c r="C144">
        <v>27.5</v>
      </c>
      <c r="F144" s="38"/>
      <c r="G144" s="37">
        <v>25.531300000000002</v>
      </c>
      <c r="H144" s="37">
        <v>1.2403</v>
      </c>
      <c r="I144" s="37"/>
      <c r="O144">
        <v>562.5</v>
      </c>
      <c r="AA144" s="2"/>
      <c r="AB144">
        <v>16</v>
      </c>
      <c r="AC144">
        <v>1.1547005383792517</v>
      </c>
    </row>
    <row r="145" spans="1:29" x14ac:dyDescent="0.2">
      <c r="C145">
        <v>28</v>
      </c>
      <c r="F145" s="38"/>
      <c r="G145" s="37">
        <v>24.531300000000002</v>
      </c>
      <c r="H145" s="37">
        <v>1.4803999999999999</v>
      </c>
      <c r="I145" s="37"/>
      <c r="O145">
        <v>583</v>
      </c>
      <c r="AA145" s="2"/>
      <c r="AB145">
        <v>11</v>
      </c>
      <c r="AC145">
        <v>4</v>
      </c>
    </row>
    <row r="146" spans="1:29" x14ac:dyDescent="0.2">
      <c r="C146">
        <v>28</v>
      </c>
      <c r="F146" s="38"/>
      <c r="G146" s="37">
        <v>23.875</v>
      </c>
      <c r="H146" s="37">
        <v>1.4971000000000001</v>
      </c>
      <c r="I146" s="37"/>
      <c r="O146">
        <v>578.5</v>
      </c>
      <c r="AA146" s="2"/>
      <c r="AB146">
        <v>7</v>
      </c>
      <c r="AC146">
        <v>1.1547005383792517</v>
      </c>
    </row>
    <row r="147" spans="1:29" x14ac:dyDescent="0.2">
      <c r="C147">
        <v>28</v>
      </c>
      <c r="F147" s="38"/>
      <c r="G147" s="37">
        <v>17.406300000000002</v>
      </c>
      <c r="H147" s="37">
        <v>1.7441</v>
      </c>
      <c r="I147" s="37"/>
      <c r="O147">
        <v>300.5</v>
      </c>
      <c r="AA147" s="2"/>
      <c r="AB147">
        <v>7.666666666666667</v>
      </c>
      <c r="AC147">
        <v>0.66666666666666552</v>
      </c>
    </row>
    <row r="148" spans="1:29" x14ac:dyDescent="0.2">
      <c r="C148">
        <v>24</v>
      </c>
      <c r="F148" s="38"/>
      <c r="G148" s="37">
        <v>17.156300000000002</v>
      </c>
      <c r="H148" s="37">
        <v>2.0385</v>
      </c>
      <c r="I148" s="37"/>
      <c r="O148">
        <v>667.5</v>
      </c>
      <c r="AA148" s="2"/>
      <c r="AB148">
        <v>4.333333333333333</v>
      </c>
      <c r="AC148">
        <v>0.33333333333333276</v>
      </c>
    </row>
    <row r="149" spans="1:29" x14ac:dyDescent="0.2">
      <c r="F149" s="38"/>
      <c r="G149" s="37"/>
      <c r="H149" s="37"/>
      <c r="I149" s="37"/>
      <c r="O149">
        <v>625</v>
      </c>
      <c r="AA149" s="2"/>
    </row>
    <row r="150" spans="1:29" x14ac:dyDescent="0.2">
      <c r="A150" t="s">
        <v>364</v>
      </c>
      <c r="B150" t="s">
        <v>368</v>
      </c>
      <c r="C150">
        <v>27</v>
      </c>
      <c r="F150" s="37"/>
      <c r="G150" s="37"/>
      <c r="H150" s="37"/>
      <c r="I150" s="37"/>
      <c r="O150">
        <v>597</v>
      </c>
      <c r="AA150" t="s">
        <v>6</v>
      </c>
    </row>
    <row r="151" spans="1:29" x14ac:dyDescent="0.2">
      <c r="C151">
        <v>28</v>
      </c>
      <c r="F151" s="37"/>
      <c r="G151" s="37"/>
      <c r="H151" s="37"/>
      <c r="I151" s="37"/>
      <c r="O151">
        <v>563.5</v>
      </c>
      <c r="AA151" t="s">
        <v>19</v>
      </c>
    </row>
    <row r="152" spans="1:29" x14ac:dyDescent="0.2">
      <c r="C152">
        <v>28.5</v>
      </c>
      <c r="F152" s="37"/>
      <c r="G152" s="37"/>
      <c r="H152" s="37"/>
      <c r="I152" s="37"/>
      <c r="O152">
        <v>556</v>
      </c>
      <c r="AA152" t="s">
        <v>393</v>
      </c>
    </row>
    <row r="153" spans="1:29" x14ac:dyDescent="0.2">
      <c r="C153">
        <v>27.5</v>
      </c>
      <c r="F153" s="37"/>
      <c r="G153" s="37"/>
      <c r="H153" s="37"/>
      <c r="I153" s="37"/>
      <c r="O153">
        <v>683.5</v>
      </c>
      <c r="AA153" t="s">
        <v>394</v>
      </c>
    </row>
    <row r="154" spans="1:29" x14ac:dyDescent="0.2">
      <c r="C154">
        <v>28</v>
      </c>
      <c r="F154" s="37"/>
      <c r="G154" s="37"/>
      <c r="H154" s="37"/>
      <c r="I154" s="37"/>
      <c r="O154">
        <v>605.5</v>
      </c>
      <c r="AA154" t="s">
        <v>395</v>
      </c>
    </row>
    <row r="155" spans="1:29" x14ac:dyDescent="0.2">
      <c r="C155">
        <v>28</v>
      </c>
      <c r="F155" s="37"/>
      <c r="G155" s="37"/>
      <c r="H155" s="37"/>
      <c r="I155" s="37"/>
      <c r="O155">
        <v>670</v>
      </c>
      <c r="AA155" t="s">
        <v>37</v>
      </c>
    </row>
    <row r="156" spans="1:29" x14ac:dyDescent="0.2">
      <c r="C156">
        <v>29.5</v>
      </c>
      <c r="F156" s="37"/>
      <c r="G156" s="37"/>
      <c r="H156" s="37"/>
      <c r="I156" s="37"/>
      <c r="O156">
        <v>646.5</v>
      </c>
      <c r="AA156" t="s">
        <v>38</v>
      </c>
    </row>
    <row r="157" spans="1:29" x14ac:dyDescent="0.2">
      <c r="C157">
        <v>28.5</v>
      </c>
      <c r="F157" s="37"/>
      <c r="G157" s="37"/>
      <c r="H157" s="37"/>
      <c r="I157" s="37"/>
      <c r="O157">
        <v>465</v>
      </c>
      <c r="AA157" t="s">
        <v>13</v>
      </c>
    </row>
    <row r="158" spans="1:29" x14ac:dyDescent="0.2">
      <c r="C158">
        <v>28.5</v>
      </c>
      <c r="F158" s="37"/>
      <c r="G158" s="37"/>
      <c r="H158" s="37"/>
      <c r="I158" s="37"/>
      <c r="O158">
        <v>602</v>
      </c>
    </row>
    <row r="159" spans="1:29" x14ac:dyDescent="0.2">
      <c r="C159">
        <v>29</v>
      </c>
      <c r="F159" s="37"/>
      <c r="G159" s="37"/>
      <c r="H159" s="37"/>
      <c r="I159" s="37"/>
      <c r="O159">
        <v>634</v>
      </c>
    </row>
    <row r="160" spans="1:29" x14ac:dyDescent="0.2">
      <c r="C160">
        <v>28.5</v>
      </c>
      <c r="F160" s="37"/>
      <c r="G160" s="37"/>
      <c r="H160" s="37"/>
      <c r="I160" s="37"/>
      <c r="O160">
        <v>695.5</v>
      </c>
    </row>
    <row r="161" spans="3:17" x14ac:dyDescent="0.2">
      <c r="C161">
        <v>28.5</v>
      </c>
      <c r="F161" s="37"/>
      <c r="G161" s="37"/>
      <c r="H161" s="37"/>
      <c r="I161" s="37"/>
      <c r="O161">
        <v>610.5</v>
      </c>
    </row>
    <row r="162" spans="3:17" x14ac:dyDescent="0.2">
      <c r="C162">
        <v>28.5</v>
      </c>
      <c r="F162" s="37"/>
      <c r="G162" s="37"/>
      <c r="H162" s="37"/>
      <c r="I162" s="37"/>
      <c r="O162">
        <v>609</v>
      </c>
    </row>
    <row r="163" spans="3:17" x14ac:dyDescent="0.2">
      <c r="C163">
        <v>29</v>
      </c>
      <c r="F163" s="37"/>
      <c r="G163" s="37"/>
      <c r="H163" s="37"/>
      <c r="I163" s="37"/>
    </row>
    <row r="164" spans="3:17" x14ac:dyDescent="0.2">
      <c r="C164">
        <v>29</v>
      </c>
      <c r="M164" t="s">
        <v>372</v>
      </c>
      <c r="N164" t="s">
        <v>377</v>
      </c>
      <c r="O164">
        <v>688.5</v>
      </c>
      <c r="P164">
        <f>AVERAGE(O164:O190)</f>
        <v>676.25925925925924</v>
      </c>
      <c r="Q164">
        <f>STDEV(O164:O190)/SQRT(COUNT(O164:O190))</f>
        <v>4.1118072611997825</v>
      </c>
    </row>
    <row r="165" spans="3:17" x14ac:dyDescent="0.2">
      <c r="C165">
        <v>28.5</v>
      </c>
      <c r="O165">
        <v>655.5</v>
      </c>
      <c r="P165">
        <v>650.5</v>
      </c>
      <c r="Q165">
        <v>5.6000733850377555</v>
      </c>
    </row>
    <row r="166" spans="3:17" x14ac:dyDescent="0.2">
      <c r="C166">
        <v>28</v>
      </c>
      <c r="O166">
        <v>700.5</v>
      </c>
    </row>
    <row r="167" spans="3:17" x14ac:dyDescent="0.2">
      <c r="C167">
        <v>28.5</v>
      </c>
      <c r="O167">
        <v>703</v>
      </c>
    </row>
    <row r="168" spans="3:17" x14ac:dyDescent="0.2">
      <c r="C168">
        <v>28.5</v>
      </c>
      <c r="O168">
        <v>695.5</v>
      </c>
    </row>
    <row r="169" spans="3:17" x14ac:dyDescent="0.2">
      <c r="C169">
        <v>28.5</v>
      </c>
      <c r="O169">
        <v>674.5</v>
      </c>
    </row>
    <row r="170" spans="3:17" x14ac:dyDescent="0.2">
      <c r="C170">
        <v>28</v>
      </c>
      <c r="O170">
        <v>701.5</v>
      </c>
    </row>
    <row r="171" spans="3:17" x14ac:dyDescent="0.2">
      <c r="C171">
        <v>28</v>
      </c>
      <c r="O171">
        <v>704</v>
      </c>
    </row>
    <row r="172" spans="3:17" x14ac:dyDescent="0.2">
      <c r="C172">
        <v>27.5</v>
      </c>
      <c r="O172">
        <v>660.5</v>
      </c>
    </row>
    <row r="173" spans="3:17" x14ac:dyDescent="0.2">
      <c r="C173">
        <v>26</v>
      </c>
      <c r="O173">
        <v>651</v>
      </c>
    </row>
    <row r="174" spans="3:17" x14ac:dyDescent="0.2">
      <c r="C174">
        <v>27.5</v>
      </c>
      <c r="O174">
        <v>661.5</v>
      </c>
    </row>
    <row r="175" spans="3:17" x14ac:dyDescent="0.2">
      <c r="C175">
        <v>29</v>
      </c>
      <c r="O175">
        <v>685</v>
      </c>
    </row>
    <row r="176" spans="3:17" x14ac:dyDescent="0.2">
      <c r="C176">
        <v>28.5</v>
      </c>
      <c r="O176">
        <v>688</v>
      </c>
    </row>
    <row r="177" spans="3:17" x14ac:dyDescent="0.2">
      <c r="C177">
        <v>29</v>
      </c>
      <c r="O177">
        <v>697.5</v>
      </c>
    </row>
    <row r="178" spans="3:17" x14ac:dyDescent="0.2">
      <c r="C178">
        <v>29</v>
      </c>
      <c r="O178">
        <v>680</v>
      </c>
    </row>
    <row r="179" spans="3:17" x14ac:dyDescent="0.2">
      <c r="C179">
        <v>29</v>
      </c>
      <c r="O179">
        <v>689.5</v>
      </c>
    </row>
    <row r="180" spans="3:17" x14ac:dyDescent="0.2">
      <c r="C180">
        <v>29</v>
      </c>
      <c r="O180">
        <v>642</v>
      </c>
    </row>
    <row r="181" spans="3:17" x14ac:dyDescent="0.2">
      <c r="C181">
        <v>28.5</v>
      </c>
      <c r="O181">
        <v>680</v>
      </c>
    </row>
    <row r="182" spans="3:17" x14ac:dyDescent="0.2">
      <c r="C182">
        <v>29</v>
      </c>
      <c r="O182">
        <v>644.5</v>
      </c>
    </row>
    <row r="183" spans="3:17" x14ac:dyDescent="0.2">
      <c r="C183">
        <v>28.5</v>
      </c>
      <c r="O183">
        <v>666</v>
      </c>
    </row>
    <row r="184" spans="3:17" x14ac:dyDescent="0.2">
      <c r="C184">
        <v>29</v>
      </c>
      <c r="O184">
        <v>625.5</v>
      </c>
    </row>
    <row r="185" spans="3:17" x14ac:dyDescent="0.2">
      <c r="C185">
        <v>28.5</v>
      </c>
      <c r="O185">
        <v>698.5</v>
      </c>
    </row>
    <row r="186" spans="3:17" x14ac:dyDescent="0.2">
      <c r="C186">
        <v>28</v>
      </c>
      <c r="O186">
        <v>656.5</v>
      </c>
    </row>
    <row r="187" spans="3:17" x14ac:dyDescent="0.2">
      <c r="C187">
        <v>27</v>
      </c>
      <c r="O187">
        <v>669</v>
      </c>
    </row>
    <row r="188" spans="3:17" x14ac:dyDescent="0.2">
      <c r="C188">
        <v>28.5</v>
      </c>
      <c r="O188">
        <v>670</v>
      </c>
    </row>
    <row r="189" spans="3:17" x14ac:dyDescent="0.2">
      <c r="C189">
        <v>28.5</v>
      </c>
      <c r="O189">
        <v>675</v>
      </c>
    </row>
    <row r="190" spans="3:17" x14ac:dyDescent="0.2">
      <c r="C190">
        <v>28.5</v>
      </c>
      <c r="O190">
        <v>696</v>
      </c>
    </row>
    <row r="191" spans="3:17" x14ac:dyDescent="0.2">
      <c r="C191">
        <v>26.5</v>
      </c>
    </row>
    <row r="192" spans="3:17" x14ac:dyDescent="0.2">
      <c r="C192">
        <v>27</v>
      </c>
      <c r="M192" t="s">
        <v>369</v>
      </c>
      <c r="N192" t="s">
        <v>378</v>
      </c>
      <c r="O192">
        <v>686</v>
      </c>
      <c r="P192">
        <f>AVERAGE(O192:O217)</f>
        <v>650.5</v>
      </c>
      <c r="Q192">
        <f>STDEV(O192:O217)/SQRT(COUNT(O117:O192))</f>
        <v>5.6000733850377555</v>
      </c>
    </row>
    <row r="193" spans="1:15" x14ac:dyDescent="0.2">
      <c r="C193">
        <v>27.5</v>
      </c>
      <c r="O193">
        <v>524.5</v>
      </c>
    </row>
    <row r="194" spans="1:15" x14ac:dyDescent="0.2">
      <c r="C194">
        <v>27.5</v>
      </c>
      <c r="O194">
        <v>698.5</v>
      </c>
    </row>
    <row r="195" spans="1:15" x14ac:dyDescent="0.2">
      <c r="C195">
        <v>28</v>
      </c>
      <c r="O195">
        <v>598.5</v>
      </c>
    </row>
    <row r="196" spans="1:15" x14ac:dyDescent="0.2">
      <c r="C196">
        <v>29</v>
      </c>
      <c r="O196">
        <v>545.5</v>
      </c>
    </row>
    <row r="197" spans="1:15" x14ac:dyDescent="0.2">
      <c r="C197">
        <v>25</v>
      </c>
      <c r="O197">
        <v>638.5</v>
      </c>
    </row>
    <row r="198" spans="1:15" x14ac:dyDescent="0.2">
      <c r="O198">
        <v>654</v>
      </c>
    </row>
    <row r="199" spans="1:15" x14ac:dyDescent="0.2">
      <c r="O199">
        <v>613</v>
      </c>
    </row>
    <row r="200" spans="1:15" x14ac:dyDescent="0.2">
      <c r="A200" t="s">
        <v>6</v>
      </c>
      <c r="O200">
        <v>671</v>
      </c>
    </row>
    <row r="201" spans="1:15" x14ac:dyDescent="0.2">
      <c r="A201" t="s">
        <v>18</v>
      </c>
      <c r="O201">
        <v>662.5</v>
      </c>
    </row>
    <row r="202" spans="1:15" x14ac:dyDescent="0.2">
      <c r="A202" t="s">
        <v>425</v>
      </c>
      <c r="O202">
        <v>679</v>
      </c>
    </row>
    <row r="203" spans="1:15" x14ac:dyDescent="0.2">
      <c r="A203" t="s">
        <v>426</v>
      </c>
      <c r="O203">
        <v>677.5</v>
      </c>
    </row>
    <row r="204" spans="1:15" x14ac:dyDescent="0.2">
      <c r="A204" t="s">
        <v>427</v>
      </c>
      <c r="O204">
        <v>661</v>
      </c>
    </row>
    <row r="205" spans="1:15" x14ac:dyDescent="0.2">
      <c r="A205" t="s">
        <v>428</v>
      </c>
      <c r="O205">
        <v>637.5</v>
      </c>
    </row>
    <row r="206" spans="1:15" x14ac:dyDescent="0.2">
      <c r="A206" t="s">
        <v>429</v>
      </c>
      <c r="O206">
        <v>665</v>
      </c>
    </row>
    <row r="207" spans="1:15" x14ac:dyDescent="0.2">
      <c r="A207" t="s">
        <v>430</v>
      </c>
      <c r="O207">
        <v>685.5</v>
      </c>
    </row>
    <row r="208" spans="1:15" x14ac:dyDescent="0.2">
      <c r="A208" t="s">
        <v>37</v>
      </c>
      <c r="O208">
        <v>647.5</v>
      </c>
    </row>
    <row r="209" spans="1:15" x14ac:dyDescent="0.2">
      <c r="A209" t="s">
        <v>38</v>
      </c>
      <c r="O209">
        <v>554</v>
      </c>
    </row>
    <row r="210" spans="1:15" x14ac:dyDescent="0.2">
      <c r="A210" t="s">
        <v>13</v>
      </c>
      <c r="O210">
        <v>652.5</v>
      </c>
    </row>
    <row r="211" spans="1:15" x14ac:dyDescent="0.2">
      <c r="O211">
        <v>694.5</v>
      </c>
    </row>
    <row r="212" spans="1:15" x14ac:dyDescent="0.2">
      <c r="O212">
        <v>682.5</v>
      </c>
    </row>
    <row r="213" spans="1:15" x14ac:dyDescent="0.2">
      <c r="O213">
        <v>634.5</v>
      </c>
    </row>
    <row r="214" spans="1:15" x14ac:dyDescent="0.2">
      <c r="O214">
        <v>686</v>
      </c>
    </row>
    <row r="215" spans="1:15" x14ac:dyDescent="0.2">
      <c r="O215">
        <v>691</v>
      </c>
    </row>
    <row r="216" spans="1:15" x14ac:dyDescent="0.2">
      <c r="O216">
        <v>668.5</v>
      </c>
    </row>
    <row r="217" spans="1:15" x14ac:dyDescent="0.2">
      <c r="O217">
        <v>704.5</v>
      </c>
    </row>
    <row r="219" spans="1:15" x14ac:dyDescent="0.2">
      <c r="M219" s="2"/>
    </row>
    <row r="220" spans="1:15" x14ac:dyDescent="0.2">
      <c r="M220" t="s">
        <v>6</v>
      </c>
    </row>
    <row r="221" spans="1:15" x14ac:dyDescent="0.2">
      <c r="M221" t="s">
        <v>396</v>
      </c>
    </row>
    <row r="222" spans="1:15" x14ac:dyDescent="0.2">
      <c r="M222" t="s">
        <v>397</v>
      </c>
    </row>
    <row r="223" spans="1:15" x14ac:dyDescent="0.2">
      <c r="M223" t="s">
        <v>398</v>
      </c>
    </row>
    <row r="224" spans="1:15" x14ac:dyDescent="0.2">
      <c r="M224" t="s">
        <v>399</v>
      </c>
    </row>
    <row r="225" spans="13:13" x14ac:dyDescent="0.2">
      <c r="M225" t="s">
        <v>400</v>
      </c>
    </row>
    <row r="226" spans="13:13" x14ac:dyDescent="0.2">
      <c r="M226" t="s">
        <v>401</v>
      </c>
    </row>
    <row r="227" spans="13:13" x14ac:dyDescent="0.2">
      <c r="M227" t="s">
        <v>402</v>
      </c>
    </row>
    <row r="228" spans="13:13" x14ac:dyDescent="0.2">
      <c r="M228" t="s">
        <v>403</v>
      </c>
    </row>
    <row r="229" spans="13:13" x14ac:dyDescent="0.2">
      <c r="M229" t="s">
        <v>404</v>
      </c>
    </row>
    <row r="230" spans="13:13" x14ac:dyDescent="0.2">
      <c r="M230" t="s">
        <v>405</v>
      </c>
    </row>
    <row r="231" spans="13:13" x14ac:dyDescent="0.2">
      <c r="M231" t="s">
        <v>406</v>
      </c>
    </row>
    <row r="232" spans="13:13" x14ac:dyDescent="0.2">
      <c r="M232" t="s">
        <v>407</v>
      </c>
    </row>
    <row r="233" spans="13:13" x14ac:dyDescent="0.2">
      <c r="M233" t="s">
        <v>408</v>
      </c>
    </row>
    <row r="234" spans="13:13" x14ac:dyDescent="0.2">
      <c r="M234" t="s">
        <v>409</v>
      </c>
    </row>
    <row r="235" spans="13:13" x14ac:dyDescent="0.2">
      <c r="M235" t="s">
        <v>410</v>
      </c>
    </row>
    <row r="236" spans="13:13" x14ac:dyDescent="0.2">
      <c r="M236" t="s">
        <v>411</v>
      </c>
    </row>
    <row r="237" spans="13:13" x14ac:dyDescent="0.2">
      <c r="M237" t="s">
        <v>412</v>
      </c>
    </row>
    <row r="238" spans="13:13" x14ac:dyDescent="0.2">
      <c r="M238" t="s">
        <v>413</v>
      </c>
    </row>
    <row r="239" spans="13:13" x14ac:dyDescent="0.2">
      <c r="M239" t="s">
        <v>414</v>
      </c>
    </row>
    <row r="240" spans="13:13" x14ac:dyDescent="0.2">
      <c r="M240" t="s">
        <v>415</v>
      </c>
    </row>
    <row r="241" spans="13:13" x14ac:dyDescent="0.2">
      <c r="M241" t="s">
        <v>416</v>
      </c>
    </row>
    <row r="242" spans="13:13" x14ac:dyDescent="0.2">
      <c r="M242" t="s">
        <v>417</v>
      </c>
    </row>
    <row r="243" spans="13:13" x14ac:dyDescent="0.2">
      <c r="M243" t="s">
        <v>418</v>
      </c>
    </row>
    <row r="244" spans="13:13" x14ac:dyDescent="0.2">
      <c r="M244" t="s">
        <v>419</v>
      </c>
    </row>
    <row r="245" spans="13:13" x14ac:dyDescent="0.2">
      <c r="M245" t="s">
        <v>420</v>
      </c>
    </row>
    <row r="246" spans="13:13" x14ac:dyDescent="0.2">
      <c r="M246" t="s">
        <v>421</v>
      </c>
    </row>
    <row r="247" spans="13:13" x14ac:dyDescent="0.2">
      <c r="M247" t="s">
        <v>422</v>
      </c>
    </row>
    <row r="248" spans="13:13" x14ac:dyDescent="0.2">
      <c r="M248" t="s">
        <v>423</v>
      </c>
    </row>
    <row r="249" spans="13:13" x14ac:dyDescent="0.2">
      <c r="M249" t="s">
        <v>424</v>
      </c>
    </row>
    <row r="250" spans="13:13" x14ac:dyDescent="0.2">
      <c r="M250" t="s">
        <v>37</v>
      </c>
    </row>
    <row r="251" spans="13:13" x14ac:dyDescent="0.2">
      <c r="M251" t="s">
        <v>38</v>
      </c>
    </row>
    <row r="252" spans="13:13" x14ac:dyDescent="0.2">
      <c r="M252" t="s">
        <v>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2D43-863C-4B8B-B207-F540EF9C91B3}">
  <dimension ref="A1:AE31"/>
  <sheetViews>
    <sheetView tabSelected="1" workbookViewId="0">
      <selection activeCell="N18" sqref="N18:N45"/>
    </sheetView>
  </sheetViews>
  <sheetFormatPr baseColWidth="10" defaultColWidth="8.83203125" defaultRowHeight="15" x14ac:dyDescent="0.2"/>
  <cols>
    <col min="11" max="11" width="8.83203125" style="1"/>
    <col min="22" max="22" width="8.83203125" style="1"/>
  </cols>
  <sheetData>
    <row r="1" spans="1:31" x14ac:dyDescent="0.2">
      <c r="A1" t="s">
        <v>531</v>
      </c>
      <c r="L1" t="s">
        <v>552</v>
      </c>
      <c r="W1" s="9"/>
      <c r="X1" s="9"/>
      <c r="Y1" s="9"/>
      <c r="Z1" s="9"/>
      <c r="AA1" s="9"/>
      <c r="AB1" s="9"/>
      <c r="AC1" s="9"/>
      <c r="AD1" s="9"/>
      <c r="AE1" s="9"/>
    </row>
    <row r="2" spans="1:31" ht="16" thickBot="1" x14ac:dyDescent="0.25">
      <c r="W2" s="9"/>
      <c r="X2" s="9"/>
      <c r="Y2" s="9"/>
      <c r="Z2" s="9"/>
      <c r="AA2" s="9"/>
      <c r="AB2" s="9"/>
      <c r="AC2" s="9"/>
      <c r="AD2" s="9"/>
      <c r="AE2" s="9"/>
    </row>
    <row r="3" spans="1:31" ht="16" thickBot="1" x14ac:dyDescent="0.25">
      <c r="A3" s="28" t="s">
        <v>532</v>
      </c>
      <c r="B3" s="15" t="s">
        <v>533</v>
      </c>
      <c r="C3" s="15" t="s">
        <v>534</v>
      </c>
      <c r="D3" s="15" t="s">
        <v>535</v>
      </c>
      <c r="E3" s="15" t="s">
        <v>536</v>
      </c>
      <c r="F3" s="15" t="s">
        <v>537</v>
      </c>
      <c r="G3" s="15" t="s">
        <v>538</v>
      </c>
      <c r="H3" s="16" t="s">
        <v>539</v>
      </c>
      <c r="I3" s="29" t="s">
        <v>540</v>
      </c>
      <c r="L3" s="28" t="s">
        <v>532</v>
      </c>
      <c r="M3" s="20" t="s">
        <v>533</v>
      </c>
      <c r="N3" s="20" t="s">
        <v>534</v>
      </c>
      <c r="O3" s="20" t="s">
        <v>535</v>
      </c>
      <c r="P3" s="20" t="s">
        <v>536</v>
      </c>
      <c r="Q3" s="20" t="s">
        <v>537</v>
      </c>
      <c r="R3" s="20" t="s">
        <v>538</v>
      </c>
      <c r="S3" s="21" t="s">
        <v>539</v>
      </c>
      <c r="T3" s="33" t="s">
        <v>540</v>
      </c>
      <c r="W3" s="9"/>
      <c r="X3" s="9"/>
      <c r="Y3" s="9"/>
      <c r="Z3" s="9"/>
      <c r="AA3" s="9"/>
      <c r="AB3" s="9"/>
      <c r="AC3" s="9"/>
      <c r="AD3" s="9"/>
      <c r="AE3" s="9"/>
    </row>
    <row r="4" spans="1:31" ht="16" thickBot="1" x14ac:dyDescent="0.25">
      <c r="A4" s="44" t="s">
        <v>541</v>
      </c>
      <c r="B4" s="10" t="s">
        <v>542</v>
      </c>
      <c r="C4" s="30">
        <v>1512.9359999999999</v>
      </c>
      <c r="D4" s="30">
        <v>20.498999999999999</v>
      </c>
      <c r="E4" s="30">
        <v>7.55</v>
      </c>
      <c r="F4" s="30">
        <v>9</v>
      </c>
      <c r="G4" s="30">
        <v>109</v>
      </c>
      <c r="H4" s="31">
        <v>137.83600000000001</v>
      </c>
      <c r="I4" s="19">
        <f>D4-D6</f>
        <v>11.946999999999999</v>
      </c>
      <c r="L4" s="44" t="s">
        <v>541</v>
      </c>
      <c r="M4" s="25" t="s">
        <v>542</v>
      </c>
      <c r="N4" s="34">
        <v>1522.3869999999999</v>
      </c>
      <c r="O4" s="34">
        <v>19.981000000000002</v>
      </c>
      <c r="P4" s="34">
        <v>8.4459999999999997</v>
      </c>
      <c r="Q4" s="34">
        <v>7</v>
      </c>
      <c r="R4" s="34">
        <v>225</v>
      </c>
      <c r="S4" s="35">
        <v>138.26599999999999</v>
      </c>
      <c r="T4" s="22">
        <f>O4-O6</f>
        <v>-6.4339999999999975</v>
      </c>
      <c r="W4" s="40"/>
      <c r="X4" s="9"/>
      <c r="Y4" s="9"/>
      <c r="Z4" s="9"/>
      <c r="AA4" s="9"/>
      <c r="AB4" s="9"/>
      <c r="AC4" s="9"/>
      <c r="AD4" s="9"/>
      <c r="AE4" s="9"/>
    </row>
    <row r="5" spans="1:31" ht="16" thickBot="1" x14ac:dyDescent="0.25">
      <c r="A5" s="45"/>
      <c r="B5" s="9" t="s">
        <v>543</v>
      </c>
      <c r="C5" s="9">
        <v>1512.9359999999999</v>
      </c>
      <c r="D5" s="9">
        <v>25.219000000000001</v>
      </c>
      <c r="E5" s="9">
        <v>9.4600000000000009</v>
      </c>
      <c r="F5" s="9">
        <v>10</v>
      </c>
      <c r="G5" s="9">
        <v>140</v>
      </c>
      <c r="H5" s="11">
        <v>137.83600000000001</v>
      </c>
      <c r="I5" s="17">
        <f>D5-D6</f>
        <v>16.667000000000002</v>
      </c>
      <c r="L5" s="45"/>
      <c r="M5" s="27" t="s">
        <v>543</v>
      </c>
      <c r="N5" s="34">
        <v>1522.3869999999999</v>
      </c>
      <c r="O5" s="27">
        <v>16.745000000000001</v>
      </c>
      <c r="P5" s="27">
        <v>6.7949999999999999</v>
      </c>
      <c r="Q5" s="27">
        <v>6</v>
      </c>
      <c r="R5" s="27">
        <v>117</v>
      </c>
      <c r="S5" s="35">
        <v>138.26599999999999</v>
      </c>
      <c r="T5" s="22">
        <f>O5-O6</f>
        <v>-9.6699999999999982</v>
      </c>
      <c r="W5" s="40"/>
      <c r="X5" s="9"/>
      <c r="Y5" s="9"/>
      <c r="Z5" s="9"/>
      <c r="AA5" s="9"/>
      <c r="AB5" s="9"/>
      <c r="AC5" s="9"/>
      <c r="AD5" s="9"/>
      <c r="AE5" s="9"/>
    </row>
    <row r="6" spans="1:31" ht="16" thickBot="1" x14ac:dyDescent="0.25">
      <c r="A6" s="46"/>
      <c r="B6" s="12" t="s">
        <v>544</v>
      </c>
      <c r="C6" s="12">
        <v>1512.9359999999999</v>
      </c>
      <c r="D6" s="12">
        <v>8.5519999999999996</v>
      </c>
      <c r="E6" s="12">
        <v>2.9630000000000001</v>
      </c>
      <c r="F6" s="12">
        <v>3</v>
      </c>
      <c r="G6" s="12">
        <v>84</v>
      </c>
      <c r="H6" s="32">
        <v>137.83600000000001</v>
      </c>
      <c r="I6" s="17"/>
      <c r="L6" s="46"/>
      <c r="M6" s="24" t="s">
        <v>544</v>
      </c>
      <c r="N6" s="34">
        <v>1522.3869999999999</v>
      </c>
      <c r="O6" s="24">
        <v>26.414999999999999</v>
      </c>
      <c r="P6" s="24">
        <v>10.554</v>
      </c>
      <c r="Q6" s="24">
        <v>11</v>
      </c>
      <c r="R6" s="24">
        <v>255</v>
      </c>
      <c r="S6" s="35">
        <v>138.26599999999999</v>
      </c>
      <c r="T6" s="23"/>
      <c r="W6" s="40"/>
      <c r="X6" s="9"/>
      <c r="Y6" s="9"/>
      <c r="Z6" s="9"/>
      <c r="AA6" s="9"/>
      <c r="AB6" s="9"/>
      <c r="AC6" s="9"/>
      <c r="AD6" s="9"/>
      <c r="AE6" s="9"/>
    </row>
    <row r="7" spans="1:31" ht="16" thickBot="1" x14ac:dyDescent="0.25">
      <c r="A7" s="44" t="s">
        <v>545</v>
      </c>
      <c r="B7" s="10" t="s">
        <v>542</v>
      </c>
      <c r="C7" s="10">
        <v>1532.7260000000001</v>
      </c>
      <c r="D7" s="10">
        <v>18.440999999999999</v>
      </c>
      <c r="E7" s="10">
        <v>8.032</v>
      </c>
      <c r="F7" s="10">
        <v>7</v>
      </c>
      <c r="G7" s="10">
        <v>152</v>
      </c>
      <c r="H7" s="13">
        <v>138.73500000000001</v>
      </c>
      <c r="I7" s="19">
        <f>D7-D9</f>
        <v>6.0509999999999984</v>
      </c>
      <c r="L7" s="44" t="s">
        <v>545</v>
      </c>
      <c r="M7" s="25" t="s">
        <v>542</v>
      </c>
      <c r="N7" s="34">
        <v>1522.3869999999999</v>
      </c>
      <c r="O7" s="25">
        <v>26.62</v>
      </c>
      <c r="P7" s="25">
        <v>12.411</v>
      </c>
      <c r="Q7" s="25">
        <v>10</v>
      </c>
      <c r="R7" s="25">
        <v>227</v>
      </c>
      <c r="S7" s="35">
        <v>138.26599999999999</v>
      </c>
      <c r="T7" s="22">
        <f>O7-O9</f>
        <v>11.969000000000001</v>
      </c>
      <c r="W7" s="40"/>
      <c r="X7" s="9"/>
      <c r="Y7" s="9"/>
      <c r="Z7" s="9"/>
      <c r="AA7" s="9"/>
      <c r="AB7" s="9"/>
      <c r="AC7" s="9"/>
      <c r="AD7" s="9"/>
      <c r="AE7" s="9"/>
    </row>
    <row r="8" spans="1:31" ht="16" thickBot="1" x14ac:dyDescent="0.25">
      <c r="A8" s="45"/>
      <c r="B8" s="9" t="s">
        <v>543</v>
      </c>
      <c r="C8" s="9">
        <v>1532.7260000000001</v>
      </c>
      <c r="D8" s="9">
        <v>19.158000000000001</v>
      </c>
      <c r="E8" s="9">
        <v>7.7080000000000002</v>
      </c>
      <c r="F8" s="9">
        <v>7</v>
      </c>
      <c r="G8" s="9">
        <v>137</v>
      </c>
      <c r="H8" s="11">
        <v>138.73500000000001</v>
      </c>
      <c r="I8" s="17">
        <f>D8-D9</f>
        <v>6.7680000000000007</v>
      </c>
      <c r="L8" s="45"/>
      <c r="M8" s="27" t="s">
        <v>543</v>
      </c>
      <c r="N8" s="34">
        <v>1522.3869999999999</v>
      </c>
      <c r="O8" s="27">
        <v>30.483000000000001</v>
      </c>
      <c r="P8" s="27">
        <v>16.222999999999999</v>
      </c>
      <c r="Q8" s="27">
        <v>7</v>
      </c>
      <c r="R8" s="27">
        <v>255</v>
      </c>
      <c r="S8" s="35">
        <v>138.26599999999999</v>
      </c>
      <c r="T8" s="22">
        <f>O8-O9</f>
        <v>15.832000000000001</v>
      </c>
      <c r="W8" s="40"/>
      <c r="X8" s="9"/>
      <c r="Y8" s="9"/>
      <c r="Z8" s="9"/>
      <c r="AA8" s="9"/>
      <c r="AB8" s="9"/>
      <c r="AC8" s="9"/>
      <c r="AD8" s="9"/>
      <c r="AE8" s="9"/>
    </row>
    <row r="9" spans="1:31" ht="16" thickBot="1" x14ac:dyDescent="0.25">
      <c r="A9" s="46"/>
      <c r="B9" s="12" t="s">
        <v>544</v>
      </c>
      <c r="C9" s="12">
        <v>1532.7260000000001</v>
      </c>
      <c r="D9" s="12">
        <v>12.39</v>
      </c>
      <c r="E9" s="12">
        <v>7.7080000000000002</v>
      </c>
      <c r="F9" s="12">
        <v>4</v>
      </c>
      <c r="G9" s="12">
        <v>250</v>
      </c>
      <c r="H9" s="14">
        <v>138.73500000000001</v>
      </c>
      <c r="I9" s="18"/>
      <c r="L9" s="46"/>
      <c r="M9" s="24" t="s">
        <v>544</v>
      </c>
      <c r="N9" s="34">
        <v>1522.3869999999999</v>
      </c>
      <c r="O9" s="24">
        <v>14.651</v>
      </c>
      <c r="P9" s="24">
        <v>19.402999999999999</v>
      </c>
      <c r="Q9" s="24">
        <v>8</v>
      </c>
      <c r="R9" s="24">
        <v>255</v>
      </c>
      <c r="S9" s="35">
        <v>138.26599999999999</v>
      </c>
      <c r="T9" s="26"/>
      <c r="W9" s="40"/>
      <c r="X9" s="9"/>
      <c r="Y9" s="9"/>
      <c r="Z9" s="9"/>
      <c r="AA9" s="9"/>
      <c r="AB9" s="9"/>
      <c r="AC9" s="9"/>
      <c r="AD9" s="9"/>
      <c r="AE9" s="9"/>
    </row>
    <row r="10" spans="1:31" ht="16" thickBot="1" x14ac:dyDescent="0.25">
      <c r="A10" s="41" t="s">
        <v>546</v>
      </c>
      <c r="B10" s="10" t="s">
        <v>542</v>
      </c>
      <c r="C10" s="10">
        <v>1027.5029999999999</v>
      </c>
      <c r="D10" s="10">
        <v>110.22499999999999</v>
      </c>
      <c r="E10" s="10">
        <v>63.552999999999997</v>
      </c>
      <c r="F10" s="10">
        <v>30</v>
      </c>
      <c r="G10" s="10">
        <v>255</v>
      </c>
      <c r="H10" s="13">
        <v>113.59099999999999</v>
      </c>
      <c r="I10" s="17">
        <f>D10-D12</f>
        <v>82.522999999999996</v>
      </c>
      <c r="L10" s="44" t="s">
        <v>553</v>
      </c>
      <c r="M10" s="25" t="s">
        <v>542</v>
      </c>
      <c r="N10" s="34">
        <v>1522.3869999999999</v>
      </c>
      <c r="O10" s="25">
        <v>43.381999999999998</v>
      </c>
      <c r="P10" s="25">
        <v>21.734000000000002</v>
      </c>
      <c r="Q10" s="25">
        <v>13</v>
      </c>
      <c r="R10" s="25">
        <v>255</v>
      </c>
      <c r="S10" s="35">
        <v>138.26599999999999</v>
      </c>
      <c r="T10" s="22">
        <f>O10-O12</f>
        <v>-2.7740000000000009</v>
      </c>
      <c r="W10" s="9"/>
      <c r="X10" s="9"/>
      <c r="Y10" s="9"/>
      <c r="Z10" s="9"/>
      <c r="AA10" s="9"/>
      <c r="AB10" s="9"/>
      <c r="AC10" s="9"/>
      <c r="AD10" s="9"/>
      <c r="AE10" s="9"/>
    </row>
    <row r="11" spans="1:31" ht="16" thickBot="1" x14ac:dyDescent="0.25">
      <c r="A11" s="42"/>
      <c r="B11" s="9" t="s">
        <v>543</v>
      </c>
      <c r="C11" s="9">
        <v>1027.5029999999999</v>
      </c>
      <c r="D11" s="9">
        <v>72.400999999999996</v>
      </c>
      <c r="E11" s="9">
        <v>47.481999999999999</v>
      </c>
      <c r="F11" s="9">
        <v>16</v>
      </c>
      <c r="G11" s="9">
        <v>240</v>
      </c>
      <c r="H11" s="11">
        <v>113.59099999999999</v>
      </c>
      <c r="I11" s="17">
        <f>D11-D12</f>
        <v>44.698999999999998</v>
      </c>
      <c r="L11" s="45"/>
      <c r="M11" s="27" t="s">
        <v>543</v>
      </c>
      <c r="N11" s="34">
        <v>1522.3869999999999</v>
      </c>
      <c r="O11" s="27">
        <v>44.874000000000002</v>
      </c>
      <c r="P11" s="27">
        <v>21.832999999999998</v>
      </c>
      <c r="Q11" s="27">
        <v>13</v>
      </c>
      <c r="R11" s="27">
        <v>255</v>
      </c>
      <c r="S11" s="35">
        <v>138.26599999999999</v>
      </c>
      <c r="T11" s="22">
        <f>O11-O12</f>
        <v>-1.2819999999999965</v>
      </c>
      <c r="W11" s="9"/>
      <c r="X11" s="9"/>
      <c r="Y11" s="9"/>
      <c r="Z11" s="9"/>
      <c r="AA11" s="9"/>
      <c r="AB11" s="9"/>
      <c r="AC11" s="9"/>
      <c r="AD11" s="9"/>
      <c r="AE11" s="9"/>
    </row>
    <row r="12" spans="1:31" ht="16" thickBot="1" x14ac:dyDescent="0.25">
      <c r="A12" s="43"/>
      <c r="B12" s="12" t="s">
        <v>544</v>
      </c>
      <c r="C12" s="12">
        <v>1027.5029999999999</v>
      </c>
      <c r="D12" s="12">
        <v>27.702000000000002</v>
      </c>
      <c r="E12" s="12">
        <v>11.571999999999999</v>
      </c>
      <c r="F12" s="12">
        <v>10</v>
      </c>
      <c r="G12" s="12">
        <v>190</v>
      </c>
      <c r="H12" s="14">
        <v>113.59099999999999</v>
      </c>
      <c r="I12" s="18"/>
      <c r="L12" s="46"/>
      <c r="M12" s="24" t="s">
        <v>544</v>
      </c>
      <c r="N12" s="34">
        <v>1522.3869999999999</v>
      </c>
      <c r="O12" s="24">
        <v>46.155999999999999</v>
      </c>
      <c r="P12" s="24">
        <v>24.195</v>
      </c>
      <c r="Q12" s="24">
        <v>14</v>
      </c>
      <c r="R12" s="24">
        <v>249</v>
      </c>
      <c r="S12" s="35">
        <v>138.26599999999999</v>
      </c>
      <c r="T12" s="26"/>
      <c r="W12" s="9"/>
      <c r="X12" s="9"/>
      <c r="Y12" s="9"/>
      <c r="Z12" s="9"/>
      <c r="AA12" s="9"/>
      <c r="AB12" s="9"/>
      <c r="AC12" s="9"/>
      <c r="AD12" s="9"/>
      <c r="AE12" s="9"/>
    </row>
    <row r="13" spans="1:31" ht="16" thickBot="1" x14ac:dyDescent="0.25">
      <c r="A13" s="41" t="s">
        <v>547</v>
      </c>
      <c r="B13" s="10" t="s">
        <v>542</v>
      </c>
      <c r="C13" s="10">
        <v>1527.335</v>
      </c>
      <c r="D13" s="10">
        <v>57.701999999999998</v>
      </c>
      <c r="E13" s="10">
        <v>43</v>
      </c>
      <c r="F13" s="10">
        <v>9</v>
      </c>
      <c r="G13" s="10">
        <v>252</v>
      </c>
      <c r="H13" s="13">
        <v>138.49100000000001</v>
      </c>
      <c r="I13" s="17">
        <f>D13-D15</f>
        <v>49.137</v>
      </c>
      <c r="L13" s="44" t="s">
        <v>554</v>
      </c>
      <c r="M13" s="25" t="s">
        <v>542</v>
      </c>
      <c r="N13" s="34">
        <v>1522.3869999999999</v>
      </c>
      <c r="O13" s="25">
        <v>58.735999999999997</v>
      </c>
      <c r="P13" s="25">
        <v>29.785</v>
      </c>
      <c r="Q13" s="25">
        <v>14</v>
      </c>
      <c r="R13" s="25">
        <v>255</v>
      </c>
      <c r="S13" s="35">
        <v>138.26599999999999</v>
      </c>
      <c r="T13" s="22">
        <f>O13-O15</f>
        <v>16.288999999999994</v>
      </c>
      <c r="W13" s="9"/>
      <c r="X13" s="9"/>
      <c r="Y13" s="9"/>
      <c r="Z13" s="9"/>
      <c r="AA13" s="9"/>
      <c r="AB13" s="9"/>
      <c r="AC13" s="9"/>
      <c r="AD13" s="9"/>
      <c r="AE13" s="9"/>
    </row>
    <row r="14" spans="1:31" ht="16" thickBot="1" x14ac:dyDescent="0.25">
      <c r="A14" s="42"/>
      <c r="B14" s="9" t="s">
        <v>543</v>
      </c>
      <c r="C14" s="9">
        <v>1527.335</v>
      </c>
      <c r="D14" s="9">
        <v>75.265000000000001</v>
      </c>
      <c r="E14" s="9">
        <v>60.848999999999997</v>
      </c>
      <c r="F14" s="9">
        <v>9</v>
      </c>
      <c r="G14" s="9">
        <v>255</v>
      </c>
      <c r="H14" s="11">
        <v>138.49100000000001</v>
      </c>
      <c r="I14" s="17">
        <f>D14-D15</f>
        <v>66.7</v>
      </c>
      <c r="L14" s="45"/>
      <c r="M14" s="27" t="s">
        <v>543</v>
      </c>
      <c r="N14" s="34">
        <v>1522.3869999999999</v>
      </c>
      <c r="O14" s="27">
        <v>38.276000000000003</v>
      </c>
      <c r="P14" s="27">
        <v>19.960999999999999</v>
      </c>
      <c r="Q14" s="27">
        <v>11</v>
      </c>
      <c r="R14" s="27">
        <v>255</v>
      </c>
      <c r="S14" s="35">
        <v>138.26599999999999</v>
      </c>
      <c r="T14" s="22">
        <f>O14-O15</f>
        <v>-4.1709999999999994</v>
      </c>
      <c r="W14" s="9"/>
      <c r="X14" s="9"/>
      <c r="Y14" s="9"/>
      <c r="Z14" s="9"/>
      <c r="AA14" s="9"/>
      <c r="AB14" s="9"/>
      <c r="AC14" s="9"/>
      <c r="AD14" s="9"/>
      <c r="AE14" s="9"/>
    </row>
    <row r="15" spans="1:31" ht="16" thickBot="1" x14ac:dyDescent="0.25">
      <c r="A15" s="43"/>
      <c r="B15" s="12" t="s">
        <v>544</v>
      </c>
      <c r="C15" s="12">
        <v>1527.335</v>
      </c>
      <c r="D15" s="12">
        <v>8.5649999999999995</v>
      </c>
      <c r="E15" s="12">
        <v>2.6339999999999999</v>
      </c>
      <c r="F15" s="12">
        <v>2</v>
      </c>
      <c r="G15" s="12">
        <v>58</v>
      </c>
      <c r="H15" s="14">
        <v>138.49100000000001</v>
      </c>
      <c r="I15" s="18"/>
      <c r="L15" s="46"/>
      <c r="M15" s="24" t="s">
        <v>544</v>
      </c>
      <c r="N15" s="34">
        <v>1522.3869999999999</v>
      </c>
      <c r="O15" s="24">
        <v>42.447000000000003</v>
      </c>
      <c r="P15" s="24">
        <v>24.128</v>
      </c>
      <c r="Q15" s="24">
        <v>10</v>
      </c>
      <c r="R15" s="24">
        <v>252</v>
      </c>
      <c r="S15" s="35">
        <v>138.26599999999999</v>
      </c>
      <c r="T15" s="26"/>
      <c r="W15" s="9"/>
      <c r="X15" s="9"/>
      <c r="Y15" s="9"/>
      <c r="Z15" s="9"/>
      <c r="AA15" s="9"/>
      <c r="AB15" s="9"/>
      <c r="AC15" s="9"/>
      <c r="AD15" s="9"/>
      <c r="AE15" s="9"/>
    </row>
    <row r="16" spans="1:31" ht="16" thickBot="1" x14ac:dyDescent="0.25">
      <c r="L16" s="41" t="s">
        <v>546</v>
      </c>
      <c r="M16" s="25" t="s">
        <v>542</v>
      </c>
      <c r="N16" s="34">
        <v>1522.3869999999999</v>
      </c>
      <c r="O16" s="34">
        <v>50.982999999999997</v>
      </c>
      <c r="P16" s="34">
        <v>42.524999999999999</v>
      </c>
      <c r="Q16" s="34">
        <v>8</v>
      </c>
      <c r="R16" s="34">
        <v>255</v>
      </c>
      <c r="S16" s="35">
        <v>138.26599999999999</v>
      </c>
      <c r="T16" s="22">
        <f>O16-O18</f>
        <v>40.549999999999997</v>
      </c>
      <c r="W16" s="9"/>
      <c r="X16" s="9"/>
      <c r="Y16" s="9"/>
      <c r="Z16" s="9"/>
      <c r="AA16" s="9"/>
      <c r="AB16" s="9"/>
      <c r="AC16" s="9"/>
      <c r="AD16" s="9"/>
      <c r="AE16" s="9"/>
    </row>
    <row r="17" spans="1:31" ht="16" thickBot="1" x14ac:dyDescent="0.25">
      <c r="B17" t="s">
        <v>548</v>
      </c>
      <c r="C17" t="s">
        <v>549</v>
      </c>
      <c r="L17" s="42"/>
      <c r="M17" s="27" t="s">
        <v>543</v>
      </c>
      <c r="N17" s="34">
        <v>1522.3869999999999</v>
      </c>
      <c r="O17" s="27">
        <v>40.250999999999998</v>
      </c>
      <c r="P17" s="27">
        <v>29.135999999999999</v>
      </c>
      <c r="Q17" s="27">
        <v>9</v>
      </c>
      <c r="R17" s="27">
        <v>255</v>
      </c>
      <c r="S17" s="35">
        <v>138.26599999999999</v>
      </c>
      <c r="T17" s="22">
        <f>O17-O18</f>
        <v>29.817999999999998</v>
      </c>
      <c r="W17" s="9"/>
      <c r="X17" s="9"/>
      <c r="Y17" s="9"/>
      <c r="Z17" s="9"/>
      <c r="AA17" s="9"/>
      <c r="AB17" s="9"/>
      <c r="AC17" s="9"/>
      <c r="AD17" s="9"/>
      <c r="AE17" s="9"/>
    </row>
    <row r="18" spans="1:31" ht="16" thickBot="1" x14ac:dyDescent="0.25">
      <c r="A18" t="s">
        <v>550</v>
      </c>
      <c r="B18">
        <v>10.35825</v>
      </c>
      <c r="C18">
        <v>2.4793606492736537</v>
      </c>
      <c r="L18" s="43"/>
      <c r="M18" s="24" t="s">
        <v>544</v>
      </c>
      <c r="N18" s="34">
        <v>1522.3869999999999</v>
      </c>
      <c r="O18" s="24">
        <v>10.433</v>
      </c>
      <c r="P18" s="24">
        <v>3.968</v>
      </c>
      <c r="Q18" s="24">
        <v>3</v>
      </c>
      <c r="R18" s="24">
        <v>158</v>
      </c>
      <c r="S18" s="35">
        <v>138.26599999999999</v>
      </c>
      <c r="T18" s="23"/>
    </row>
    <row r="19" spans="1:31" ht="16" thickBot="1" x14ac:dyDescent="0.25">
      <c r="A19" t="s">
        <v>551</v>
      </c>
      <c r="B19">
        <v>60.764749999999992</v>
      </c>
      <c r="C19">
        <v>8.6696863108861653</v>
      </c>
      <c r="L19" s="41" t="s">
        <v>555</v>
      </c>
      <c r="M19" s="25" t="s">
        <v>542</v>
      </c>
      <c r="N19" s="34">
        <v>1522.3869999999999</v>
      </c>
      <c r="O19" s="25">
        <v>89.715000000000003</v>
      </c>
      <c r="P19" s="25">
        <v>60.252000000000002</v>
      </c>
      <c r="Q19" s="25">
        <v>11</v>
      </c>
      <c r="R19" s="25">
        <v>251</v>
      </c>
      <c r="S19" s="35">
        <v>138.26599999999999</v>
      </c>
      <c r="T19" s="22">
        <f>O19-O21</f>
        <v>77.593000000000004</v>
      </c>
    </row>
    <row r="20" spans="1:31" ht="16" thickBot="1" x14ac:dyDescent="0.25">
      <c r="L20" s="42"/>
      <c r="M20" s="27" t="s">
        <v>543</v>
      </c>
      <c r="N20" s="34">
        <v>1522.3869999999999</v>
      </c>
      <c r="O20" s="27">
        <v>30.786000000000001</v>
      </c>
      <c r="P20" s="27">
        <v>24.021000000000001</v>
      </c>
      <c r="Q20" s="27">
        <v>5</v>
      </c>
      <c r="R20" s="27">
        <v>236</v>
      </c>
      <c r="S20" s="35">
        <v>138.26599999999999</v>
      </c>
      <c r="T20" s="22">
        <f>O20-O21</f>
        <v>18.664000000000001</v>
      </c>
    </row>
    <row r="21" spans="1:31" ht="16" thickBot="1" x14ac:dyDescent="0.25">
      <c r="L21" s="43"/>
      <c r="M21" s="24" t="s">
        <v>544</v>
      </c>
      <c r="N21" s="34">
        <v>1522.3869999999999</v>
      </c>
      <c r="O21" s="24">
        <v>12.122</v>
      </c>
      <c r="P21" s="24">
        <v>3.988</v>
      </c>
      <c r="Q21" s="24">
        <v>3</v>
      </c>
      <c r="R21" s="24">
        <v>89</v>
      </c>
      <c r="S21" s="35">
        <v>138.26599999999999</v>
      </c>
      <c r="T21" s="26"/>
    </row>
    <row r="22" spans="1:31" ht="16" thickBot="1" x14ac:dyDescent="0.25">
      <c r="L22" s="41" t="s">
        <v>547</v>
      </c>
      <c r="M22" s="25" t="s">
        <v>542</v>
      </c>
      <c r="N22" s="34">
        <v>1522.3869999999999</v>
      </c>
      <c r="O22" s="25">
        <v>70.763999999999996</v>
      </c>
      <c r="P22" s="25">
        <v>52.033000000000001</v>
      </c>
      <c r="Q22" s="25">
        <v>2</v>
      </c>
      <c r="R22" s="25">
        <v>255</v>
      </c>
      <c r="S22" s="35">
        <v>138.26599999999999</v>
      </c>
      <c r="T22" s="22">
        <f>O22-O24</f>
        <v>64.491</v>
      </c>
    </row>
    <row r="23" spans="1:31" ht="16" thickBot="1" x14ac:dyDescent="0.25">
      <c r="L23" s="42"/>
      <c r="M23" s="27" t="s">
        <v>543</v>
      </c>
      <c r="N23" s="34">
        <v>1522.3869999999999</v>
      </c>
      <c r="O23" s="27">
        <v>73.016000000000005</v>
      </c>
      <c r="P23" s="27">
        <v>53.591999999999999</v>
      </c>
      <c r="Q23" s="27">
        <v>3</v>
      </c>
      <c r="R23" s="27">
        <v>251</v>
      </c>
      <c r="S23" s="35">
        <v>138.26599999999999</v>
      </c>
      <c r="T23" s="22">
        <f>O23-O24</f>
        <v>66.743000000000009</v>
      </c>
    </row>
    <row r="24" spans="1:31" ht="16" thickBot="1" x14ac:dyDescent="0.25">
      <c r="L24" s="43"/>
      <c r="M24" s="24" t="s">
        <v>544</v>
      </c>
      <c r="N24" s="34">
        <v>1522.3869999999999</v>
      </c>
      <c r="O24" s="24">
        <v>6.2729999999999997</v>
      </c>
      <c r="P24" s="24">
        <v>3.407</v>
      </c>
      <c r="Q24" s="24">
        <v>1</v>
      </c>
      <c r="R24" s="24">
        <v>57</v>
      </c>
      <c r="S24" s="35">
        <v>138.26599999999999</v>
      </c>
      <c r="T24" s="26"/>
    </row>
    <row r="25" spans="1:31" ht="16" thickBot="1" x14ac:dyDescent="0.25">
      <c r="L25" s="41" t="s">
        <v>556</v>
      </c>
      <c r="M25" s="25" t="s">
        <v>542</v>
      </c>
      <c r="N25" s="34">
        <v>1522.3869999999999</v>
      </c>
      <c r="O25" s="25">
        <v>103.386</v>
      </c>
      <c r="P25" s="25">
        <v>63.003999999999998</v>
      </c>
      <c r="Q25" s="25">
        <v>10</v>
      </c>
      <c r="R25" s="25">
        <v>255</v>
      </c>
      <c r="S25" s="35">
        <v>138.26599999999999</v>
      </c>
      <c r="T25" s="22">
        <f>O25-O27</f>
        <v>94.138999999999996</v>
      </c>
    </row>
    <row r="26" spans="1:31" ht="16" thickBot="1" x14ac:dyDescent="0.25">
      <c r="L26" s="42"/>
      <c r="M26" s="27" t="s">
        <v>543</v>
      </c>
      <c r="N26" s="34">
        <v>1522.3869999999999</v>
      </c>
      <c r="O26" s="27">
        <v>97.596999999999994</v>
      </c>
      <c r="P26" s="27">
        <v>70.314999999999998</v>
      </c>
      <c r="Q26" s="27">
        <v>8</v>
      </c>
      <c r="R26" s="27">
        <v>255</v>
      </c>
      <c r="S26" s="35">
        <v>138.26599999999999</v>
      </c>
      <c r="T26" s="22">
        <f>O26-O27</f>
        <v>88.35</v>
      </c>
    </row>
    <row r="27" spans="1:31" ht="16" thickBot="1" x14ac:dyDescent="0.25">
      <c r="L27" s="43"/>
      <c r="M27" s="24" t="s">
        <v>544</v>
      </c>
      <c r="N27" s="34">
        <v>1522.3869999999999</v>
      </c>
      <c r="O27" s="24">
        <v>9.2469999999999999</v>
      </c>
      <c r="P27" s="24">
        <v>4.0529999999999999</v>
      </c>
      <c r="Q27" s="24">
        <v>2</v>
      </c>
      <c r="R27" s="24">
        <v>78</v>
      </c>
      <c r="S27" s="35">
        <v>138.26599999999999</v>
      </c>
      <c r="T27" s="26"/>
    </row>
    <row r="29" spans="1:31" x14ac:dyDescent="0.2">
      <c r="M29" t="s">
        <v>548</v>
      </c>
      <c r="N29" t="s">
        <v>549</v>
      </c>
    </row>
    <row r="30" spans="1:31" x14ac:dyDescent="0.2">
      <c r="L30" t="s">
        <v>550</v>
      </c>
      <c r="M30">
        <v>2.4698750000000005</v>
      </c>
      <c r="N30">
        <v>3.7131031084790016</v>
      </c>
    </row>
    <row r="31" spans="1:31" x14ac:dyDescent="0.2">
      <c r="L31" t="s">
        <v>551</v>
      </c>
      <c r="M31">
        <v>60.043499999999995</v>
      </c>
      <c r="N31">
        <v>9.7671552207970418</v>
      </c>
    </row>
  </sheetData>
  <mergeCells count="14">
    <mergeCell ref="L25:L27"/>
    <mergeCell ref="A4:A6"/>
    <mergeCell ref="A7:A9"/>
    <mergeCell ref="A10:A12"/>
    <mergeCell ref="A13:A15"/>
    <mergeCell ref="L4:L6"/>
    <mergeCell ref="L7:L9"/>
    <mergeCell ref="L10:L12"/>
    <mergeCell ref="L13:L15"/>
    <mergeCell ref="W4:W6"/>
    <mergeCell ref="W7:W9"/>
    <mergeCell ref="L16:L18"/>
    <mergeCell ref="L19:L21"/>
    <mergeCell ref="L22:L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51B2BFFB75ECD4AA008F8F0D7A3CC8E" ma:contentTypeVersion="0" ma:contentTypeDescription="Ein neues Dokument erstellen." ma:contentTypeScope="" ma:versionID="7d6aa040f28f5b092b5c73e122f29e4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962963577b8b72a2df32156eded628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881668-1F8F-44B9-B9F6-93C9D422C0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82E34-2883-4CD1-8C8E-E0D2DFF130C1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9B932A67-BAA3-4048-8A04-AB52AB20D6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Figure 1</vt:lpstr>
      <vt:lpstr>Figure 2</vt:lpstr>
      <vt:lpstr>Figure 3</vt:lpstr>
      <vt:lpstr>Figure 4</vt:lpstr>
      <vt:lpstr>S1</vt:lpstr>
      <vt:lpstr>S2</vt:lpstr>
      <vt:lpstr>S3</vt:lpstr>
      <vt:lpstr>S4</vt:lpstr>
      <vt:lpstr>S5</vt:lpstr>
      <vt:lpstr>S6</vt:lpstr>
      <vt:lpstr>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</dc:creator>
  <cp:lastModifiedBy>Microsoft Office User</cp:lastModifiedBy>
  <dcterms:created xsi:type="dcterms:W3CDTF">2020-05-05T09:03:59Z</dcterms:created>
  <dcterms:modified xsi:type="dcterms:W3CDTF">2021-09-06T12:17:14Z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0x010100751B2BFFB75ECD4AA008F8F0D7A3CC8E</vt:lpwstr>
  </property>
</Properties>
</file>